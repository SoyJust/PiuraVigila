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Commits" sheetId="2" state="visible" r:id="rId4"/>
    <sheet name="Ramas_PR" sheetId="3" state="visible" r:id="rId5"/>
    <sheet name="Trazabilidad" sheetId="4" state="visible" r:id="rId6"/>
    <sheet name="Arquitectura" sheetId="5" state="visible" r:id="rId7"/>
    <sheet name="Checklist_40" sheetId="6" state="visible" r:id="rId8"/>
    <sheet name="Checklist_Rev2" sheetId="7" state="visible" r:id="rId9"/>
    <sheet name="Checklist_Rev3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<sst xmlns="http://schemas.openxmlformats.org/spreadsheetml/2006/main" count="688" uniqueCount="441">
  <si>
    <t xml:space="preserve">Semana 11 · Git, GitHub y avance de desarrollo (40 %, rev2 y rev3)</t>
  </si>
  <si>
    <t xml:space="preserve">Indicador</t>
  </si>
  <si>
    <t xml:space="preserve">Valor</t>
  </si>
  <si>
    <t xml:space="preserve">Principio de la Semana 11</t>
  </si>
  <si>
    <t xml:space="preserve">Commits documentados</t>
  </si>
  <si>
    <t xml:space="preserve">Versionar no es subir una carpeta final. Es dejar una historia recuperable y revisable: requisito → rama → cambio → commit → prueba/evidencia → revisión → integración → hito 40 % (rev1) y hito rev2 (PR #2) y hito rev3 (PR #3).</t>
  </si>
  <si>
    <t xml:space="preserve">Ramas / PR documentados</t>
  </si>
  <si>
    <t xml:space="preserve">Filas de trazabilidad</t>
  </si>
  <si>
    <t xml:space="preserve">Decisiones de arquitectura</t>
  </si>
  <si>
    <t xml:space="preserve">Criterios de calidad cumplidos</t>
  </si>
  <si>
    <t xml:space="preserve">Progreso visible</t>
  </si>
  <si>
    <t xml:space="preserve">Criterios cumplidos (rev2)</t>
  </si>
  <si>
    <t xml:space="preserve">Progreso visible (rev2)</t>
  </si>
  <si>
    <t xml:space="preserve">Criterios cumplidos (rev3)</t>
  </si>
  <si>
    <t xml:space="preserve">Progreso visible (rev3)</t>
  </si>
  <si>
    <t xml:space="preserve">Registro de commits significativos</t>
  </si>
  <si>
    <t xml:space="preserve">Hash / ID</t>
  </si>
  <si>
    <t xml:space="preserve">Fecha</t>
  </si>
  <si>
    <t xml:space="preserve">Autor</t>
  </si>
  <si>
    <t xml:space="preserve">Mensaje</t>
  </si>
  <si>
    <t xml:space="preserve">Archivos principales</t>
  </si>
  <si>
    <t xml:space="preserve">Requisito / flujo</t>
  </si>
  <si>
    <t xml:space="preserve">Prueba / evidencia</t>
  </si>
  <si>
    <t xml:space="preserve">Resultado</t>
  </si>
  <si>
    <t xml:space="preserve">Observación</t>
  </si>
  <si>
    <t xml:space="preserve">21ef549</t>
  </si>
  <si>
    <t xml:space="preserve">2026-10-22</t>
  </si>
  <si>
    <t xml:space="preserve">SoyJust</t>
  </si>
  <si>
    <t xml:space="preserve">PiuraVigila v0.8 - APF3 Semana 10</t>
  </si>
  <si>
    <t xml:space="preserve">Proyecto completo (pom.xml, src/, database/, evidencias/)</t>
  </si>
  <si>
    <t xml:space="preserve">APF3 · avance 30 % (flujo vertical FV-01 a FV-06)</t>
  </si>
  <si>
    <t xml:space="preserve">evidencias/ejecucion_pruebas_arnes.txt (35 de 35 con arnés)</t>
  </si>
  <si>
    <t xml:space="preserve">Base del avance 30 %; mvn test real ejecutado después (EV-03 y EV-14: 42 pruebas, 0 fallos)</t>
  </si>
  <si>
    <t xml:space="preserve">Commit real de GitHub (git log). Historial previo a la rama feature/apf3-rev1; el avance 40 % se integró después con el merge 0186074</t>
  </si>
  <si>
    <t xml:space="preserve">8ba19aa</t>
  </si>
  <si>
    <t xml:space="preserve">README final</t>
  </si>
  <si>
    <t xml:space="preserve">README.md</t>
  </si>
  <si>
    <t xml:space="preserve">APF3 · documentación</t>
  </si>
  <si>
    <t xml:space="preserve">Lectura del README</t>
  </si>
  <si>
    <t xml:space="preserve">README con tecnologías, arquitectura, rutas y ejecución</t>
  </si>
  <si>
    <t xml:space="preserve">Commit real de GitHub (git log). Es la base sobre la que se aplican los parches</t>
  </si>
  <si>
    <t xml:space="preserve">46b7fa9</t>
  </si>
  <si>
    <t xml:space="preserve">2026-10-23</t>
  </si>
  <si>
    <t xml:space="preserve">fix(panel): exigir rol administrador en habilitarCategoria()</t>
  </si>
  <si>
    <t xml:space="preserve">PanelController.java, panel.html</t>
  </si>
  <si>
    <t xml:space="preserve">RF-07 Habilitar categoría (solo administrador) · P03 · Q-10</t>
  </si>
  <si>
    <t xml:space="preserve">PanelControllerTest (PV-T41, T-22) · mvn test</t>
  </si>
  <si>
    <t xml:space="preserve">PV-T41 verde: mvn test final con 42 pruebas y 0 fallos (24/10/2026); la captura EV-03 (23/10/2026) muestra 41</t>
  </si>
  <si>
    <t xml:space="preserve">Parche 0001. WBS 1.3.3 Panel de gestión (responsable de paquete: Kreismy). Hash, fecha y autor tomados de git log</t>
  </si>
  <si>
    <t xml:space="preserve">3621201</t>
  </si>
  <si>
    <t xml:space="preserve">feat(seed): agregar usuario operador y PIURA_OPERADOR_PASSWORD</t>
  </si>
  <si>
    <t xml:space="preserve">02_seed.sql, AdminInicializador.java, application.properties</t>
  </si>
  <si>
    <t xml:space="preserve">RNF-01 Acceso del personal al panel · RF-03</t>
  </si>
  <si>
    <t xml:space="preserve">Consulta de usuario_municipal tras arrancar (EV-11)</t>
  </si>
  <si>
    <t xml:space="preserve">Hash BCrypt de admin y operador en usuario_municipal (captura EV-11); el operador inicia sesión (captura EV-10_P03_panel_operador.png)</t>
  </si>
  <si>
    <t xml:space="preserve">Parche 0002. WBS 1.2.1 Diseño de BD (responsable de paquete: Edu). Sin contraseñas en el código</t>
  </si>
  <si>
    <t xml:space="preserve">c144f2e</t>
  </si>
  <si>
    <t xml:space="preserve">feat(panel): mapa esquemático P04 de zonas críticas</t>
  </si>
  <si>
    <t xml:space="preserve">PanelController.java, mapa.html, piuravigila.css, panel.html</t>
  </si>
  <si>
    <t xml:space="preserve">RF-04 Mapa de zonas críticas · P04 · FV-06</t>
  </si>
  <si>
    <t xml:space="preserve">Captura de /panel/mapa (EV-12)</t>
  </si>
  <si>
    <t xml:space="preserve">Mapa funciona: capturas EV-12 en 7 días, mes, 3 meses y año (24/10/2026: Centro 3, Norte 1)</t>
  </si>
  <si>
    <t xml:space="preserve">Parche 0003. Incremento respecto del 30 %. WBS 1.3.4 Mapa de zonas críticas (responsable de paquete: Edu). Usa DashboardService.zonasCriticas()</t>
  </si>
  <si>
    <t xml:space="preserve">ab6653b</t>
  </si>
  <si>
    <t xml:space="preserve">test(panel): PV-T39, PV-T41 y PV-T42 con MockMvc</t>
  </si>
  <si>
    <t xml:space="preserve">PanelControllerTest.java</t>
  </si>
  <si>
    <t xml:space="preserve">T-13, T-22, T-24 (Semana 9 rev2) · RNF-01, RF-07</t>
  </si>
  <si>
    <t xml:space="preserve">mvn test (EV-03)</t>
  </si>
  <si>
    <t xml:space="preserve">mvn test final: 42 pruebas, 0 fallos (24/10/2026); captura EV-03 del 23/10/2026 con 41 pruebas</t>
  </si>
  <si>
    <t xml:space="preserve">Parche 0004. WBS 1.4 Pruebas (responsable de paquete: Leo)</t>
  </si>
  <si>
    <t xml:space="preserve">e106cb7</t>
  </si>
  <si>
    <t xml:space="preserve">docs: actualizar README y guía del arnés</t>
  </si>
  <si>
    <t xml:space="preserve">README.md, evidencias/arnes/LEEME.txt</t>
  </si>
  <si>
    <t xml:space="preserve">APF3 · documentación del avance 40 %</t>
  </si>
  <si>
    <t xml:space="preserve">README: estado real del avance 40 % (42 pruebas, PR #1 y tag)</t>
  </si>
  <si>
    <t xml:space="preserve">Estado real documentado y verificado con las evidencias EV-03 a EV-14</t>
  </si>
  <si>
    <t xml:space="preserve">Parche 0005. Documentación (WBS 1.1, equipo)</t>
  </si>
  <si>
    <t xml:space="preserve">6ac9689</t>
  </si>
  <si>
    <t xml:space="preserve">2026-10-24</t>
  </si>
  <si>
    <t xml:space="preserve">fix(login): crear la sesión antes de cambiar su identificador</t>
  </si>
  <si>
    <t xml:space="preserve">PanelController.java</t>
  </si>
  <si>
    <t xml:space="preserve">RNF-01 Acceso del personal al panel · login sin sesión previa</t>
  </si>
  <si>
    <t xml:space="preserve">PV-T43 (PanelControllerTest) · captura EV-10_P03_panel_operador.png</t>
  </si>
  <si>
    <t xml:space="preserve">El operador inicia sesión tras cerrar la sesión del administrador (captura EV-10_P03_panel_operador.png); PV-T43 verde</t>
  </si>
  <si>
    <t xml:space="preserve">Parche 0006. Hallado al probar: tras cerrar la sesión del administrador, el login del operador mostraba la página «Error». WBS 1.3.3</t>
  </si>
  <si>
    <t xml:space="preserve">ed70900</t>
  </si>
  <si>
    <t xml:space="preserve">test(login): PV-T43 inicio de sesión sin sesión previa</t>
  </si>
  <si>
    <t xml:space="preserve">RNF-01 Acceso del personal al panel</t>
  </si>
  <si>
    <t xml:space="preserve">mvn test (PV-T43)</t>
  </si>
  <si>
    <t xml:space="preserve">PV-T43 verde: mvn test final con 42 pruebas, 0 fallos, BUILD SUCCESS (24/10/2026 18:06, captura EV-14)</t>
  </si>
  <si>
    <t xml:space="preserve">Parche 0007. WBS 1.4 Pruebas</t>
  </si>
  <si>
    <t xml:space="preserve">3ce112d</t>
  </si>
  <si>
    <t xml:space="preserve">fix(ui): contraste de los enlaces dentro de las tarjetas</t>
  </si>
  <si>
    <t xml:space="preserve">piuravigila.css</t>
  </si>
  <si>
    <t xml:space="preserve">RF-04 Mapa de zonas críticas · RF-07 · legibilidad de P03 y P04</t>
  </si>
  <si>
    <t xml:space="preserve">Captura de /panel y /panel/mapa</t>
  </si>
  <si>
    <t xml:space="preserve">Enlace «Mapa de zonas críticas» legible en el panel del operador (captura EV-10_P03_panel_operador.png)</t>
  </si>
  <si>
    <t xml:space="preserve">Parche 0008. Los enlaces «Mapa de zonas críticas» y «Volver al panel» no se leían sobre el fondo oscuro</t>
  </si>
  <si>
    <t xml:space="preserve">0186074</t>
  </si>
  <si>
    <t xml:space="preserve">Merge del PR #1: feature/apf3-rev1 → main (git merge --no-ff)</t>
  </si>
  <si>
    <t xml:space="preserve">Integra los 8 commits del avance (46b7fa9 a 3ce112d); sin archivos propios</t>
  </si>
  <si>
    <t xml:space="preserve">APF3 · integración del avance 40 % · RF-04, RF-07, RNF-01</t>
  </si>
  <si>
    <t xml:space="preserve">PR #1 revisado por justzonagamer-rgb; mvn test final: 42 pruebas, 0 fallos (EV-14); tag semana11-40pct</t>
  </si>
  <si>
    <t xml:space="preserve">Integrado en main y publicado en GitHub; tag semana11-40pct subido</t>
  </si>
  <si>
    <t xml:space="preserve">Commit de merge (--no-ff) en main. Con este commit el conteo total es de 11 commits (2 base + 8 del avance + 1 merge)</t>
  </si>
  <si>
    <t xml:space="preserve">043d302</t>
  </si>
  <si>
    <t xml:space="preserve">2026-10-25</t>
  </si>
  <si>
    <t xml:space="preserve">chore: ignorar config/ y uploads/</t>
  </si>
  <si>
    <t xml:space="preserve">.gitignore</t>
  </si>
  <si>
    <t xml:space="preserve">Seguridad · no versionar claves (RNF-01) · Q-15</t>
  </si>
  <si>
    <t xml:space="preserve">git status antes del push: config/ no debe figurar</t>
  </si>
  <si>
    <t xml:space="preserve">.gitignore excluye config/ (claves locales de la BD) y uploads/</t>
  </si>
  <si>
    <t xml:space="preserve">Commit real de GitHub (git log). Primer commit de feature/apf3-rev2. Evita que las claves locales lleguen a GitHub</t>
  </si>
  <si>
    <t xml:space="preserve">32bcc2b</t>
  </si>
  <si>
    <t xml:space="preserve">feat: mapa de reportes con ubicacion, linea de tiempo en Consultar y mejoras de interfaz</t>
  </si>
  <si>
    <t xml:space="preserve">src/: PuntoReporte, PasoEstado, ConsultaEstado, ReporteService, DashboardService, ReporteDAO y ReporteDAOJdbc, PanelController; plantillas (mapa, panel, consultar, reportar, login, duplicado, registrado, error, fragments) y piuravigila.css; ReporteServiceTest</t>
  </si>
  <si>
    <t xml:space="preserve">RF-04 Mapa de zonas críticas (P04) · RF-02 Consultar estado (P02) · FV-04 y FV-06</t>
  </si>
  <si>
    <t xml:space="preserve">PV-T44 y PV-T45 (ReporteServiceTest) · mvn test (EV-16) · capturas EV-17 y EV-18</t>
  </si>
  <si>
    <t xml:space="preserve">mvn test: 44 pruebas, 0 fallos, BUILD SUCCESS (25/10/2026 12:08); mapa con 15 puntos coloreados por estado (EV-17); línea de tiempo en Consultar (EV-18)</t>
  </si>
  <si>
    <t xml:space="preserve">Commit real de GitHub (git log). Agrupa varios cambios (mapa con puntos, línea de tiempo, interfaz): es grande para revisar; en el próximo avance conviene separarlos en commits distintos</t>
  </si>
  <si>
    <t xml:space="preserve">b64ffd2</t>
  </si>
  <si>
    <t xml:space="preserve">feat: zonas por distritos reales, datos de demostración y README actualizado</t>
  </si>
  <si>
    <t xml:space="preserve">database/02_seed.sql, database/04_datos_demo.sql</t>
  </si>
  <si>
    <t xml:space="preserve">Zonas de reporte (distritos de Piura) · datos de demostración del APF3 · FV-06</t>
  </si>
  <si>
    <t xml:space="preserve">Conteos por zona en el mapa (EV-17); script de demo (EV-20)</t>
  </si>
  <si>
    <t xml:space="preserve">Las 6 zonas pasan de nombres genéricos a distritos (Piura, Castilla, Veintiséis de Octubre, Catacaos, La Arena, La Unión); 20 casos y 8 vinculados ficticios para ver el panel y el mapa</t>
  </si>
  <si>
    <t xml:space="preserve">Commit real de GitHub (git log). El mensaje menciona el README, pero su actualización quedó en el commit b3892b5. El seed solo corre en bases nuevas: en una base ya creada las zonas se renombran con un UPDATE</t>
  </si>
  <si>
    <t xml:space="preserve">b3892b5</t>
  </si>
  <si>
    <t xml:space="preserve">docs: actualizar README (zonas, datos de demo, mapa y linea de tiempo)</t>
  </si>
  <si>
    <t xml:space="preserve">APF3 · documentación de rev2</t>
  </si>
  <si>
    <t xml:space="preserve">README con las zonas por distrito, el script de datos de demostración, el mapa con puntos y la línea de tiempo en Consultar</t>
  </si>
  <si>
    <t xml:space="preserve">Commit real de GitHub (git log). Documentación (WBS 1.1, equipo)</t>
  </si>
  <si>
    <t xml:space="preserve">d592b35</t>
  </si>
  <si>
    <t xml:space="preserve">Merge pull request #2 from SoyJust/feature/apf3-rev2</t>
  </si>
  <si>
    <t xml:space="preserve">Integra los 4 commits de rev2 (043d302 a b3892b5); sin archivos propios</t>
  </si>
  <si>
    <t xml:space="preserve">APF3 · integración de rev2 · RF-02, RF-04</t>
  </si>
  <si>
    <t xml:space="preserve">PR #2 fusionado en GitHub; mvn test: 44 pruebas, 0 fallos (EV-16); etiqueta semana11-100pct</t>
  </si>
  <si>
    <t xml:space="preserve">Integrado en main y publicado en GitHub; la etiqueta semana11-100pct apunta a d592b35</t>
  </si>
  <si>
    <t xml:space="preserve">Commit real de GitHub (git log). Commit de merge creado por GitHub en main. Con este commit el conteo total es de 16 commits (2 base + 8 del avance + 1 merge + 4 de rev2 + 1 merge)</t>
  </si>
  <si>
    <t xml:space="preserve">52468ca</t>
  </si>
  <si>
    <t xml:space="preserve">2026-10-27</t>
  </si>
  <si>
    <t xml:space="preserve">feat: exportacion Excel, librerias (Guava, POI, Commons, Logback) y validaciones de seguridad</t>
  </si>
  <si>
    <t xml:space="preserve">pom.xml; src/ (ExportacionController, ExportacionService, FotoStorageDisco, ValidadorReporte, ReporteController, Csrf, plantillas y pruebas); .github/workflows/pruebas.yml; docs/ y evidencias/</t>
  </si>
  <si>
    <t xml:space="preserve">RF-04 Exportar zonas · RNF-01 Seguridad · librerías de apoyo del APF3 · FV-07</t>
  </si>
  <si>
    <t xml:space="preserve">PV-T46 a PV-T55 · mvn clean test (EV-21 y EV-22)</t>
  </si>
  <si>
    <t xml:space="preserve">mvn clean test en la laptop: 54 pruebas, 0 fallos, BUILD SUCCESS (27/10/2026 16:03)</t>
  </si>
  <si>
    <t xml:space="preserve">Commit real de GitHub (git log). Agrupa tres cambios (exportación a Excel, librerías de apoyo y seguridad de fotos y formularios); en el próximo avance conviene separarlos en commits distintos</t>
  </si>
  <si>
    <t xml:space="preserve">9d70079</t>
  </si>
  <si>
    <t xml:space="preserve">Merge pull request #3 from SoyJust/feature/apf3-rev3</t>
  </si>
  <si>
    <t xml:space="preserve">Integra el commit 52468ca de rev3; sin archivos propios</t>
  </si>
  <si>
    <t xml:space="preserve">APF3 · integración de rev3 · RF-04, RNF-01</t>
  </si>
  <si>
    <t xml:space="preserve">PR #3 fusionado en GitHub; mvn clean test: 54 pruebas, 0 fallos (EV-21); etiqueta apf3-rev3</t>
  </si>
  <si>
    <t xml:space="preserve">Integrado en main y publicado en GitHub; la etiqueta apf3-rev3 está en el commit del merge</t>
  </si>
  <si>
    <t xml:space="preserve">Commit real de GitHub (git log). Commit de merge creado por GitHub en main. Con este commit el conteo total es de 18 commits (16 anteriores + 52468ca + el merge)</t>
  </si>
  <si>
    <t xml:space="preserve">Ramas, revisión y Pull Request</t>
  </si>
  <si>
    <t xml:space="preserve">Rama / PR</t>
  </si>
  <si>
    <t xml:space="preserve">Propósito</t>
  </si>
  <si>
    <t xml:space="preserve">Base</t>
  </si>
  <si>
    <t xml:space="preserve">Responsable</t>
  </si>
  <si>
    <t xml:space="preserve">Commits asociados</t>
  </si>
  <si>
    <t xml:space="preserve">Estado</t>
  </si>
  <si>
    <t xml:space="preserve">Revisión realizada</t>
  </si>
  <si>
    <t xml:space="preserve">Conflictos</t>
  </si>
  <si>
    <t xml:space="preserve">Decisión de integración</t>
  </si>
  <si>
    <t xml:space="preserve">Evidencia / URL</t>
  </si>
  <si>
    <t xml:space="preserve">feature/apf3-rev1</t>
  </si>
  <si>
    <t xml:space="preserve">Avance 40 %: control de rol (RF-07), usuario operador (RNF-01), mapa P04 (RF-04) y pruebas del panel</t>
  </si>
  <si>
    <t xml:space="preserve">main (base 8ba19aa)</t>
  </si>
  <si>
    <t xml:space="preserve">SoyJust (aplicó los parches y abrió el PR)</t>
  </si>
  <si>
    <t xml:space="preserve">8 commits: 46b7fa9, 3621201, c144f2e, ab6653b, e106cb7, 6ac9689, ed70900, 3ce112d; merge en main: 0186074 (11 commits en total en el historial documentado)</t>
  </si>
  <si>
    <t xml:space="preserve">Fusionada</t>
  </si>
  <si>
    <t xml:space="preserve">Revisado por justzonagamer-rgb en el PR #1</t>
  </si>
  <si>
    <t xml:space="preserve">No (no se informaron conflictos al fusionar)</t>
  </si>
  <si>
    <t xml:space="preserve">Integrado a main tras la revisión del PR #1; hash en main tras la fusión: 0186074. Tag semana11-40pct creado y publicado en GitHub (confirmado el 24/10/2026: git push devuelve Everything up-to-date)</t>
  </si>
  <si>
    <t xml:space="preserve">https://github.com/SoyJust/PiuraVigila/pull/1</t>
  </si>
  <si>
    <t xml:space="preserve">feature/apf3-rev2</t>
  </si>
  <si>
    <t xml:space="preserve">Incremento rev2: mapa de reportes con ubicación (RF-04), línea de tiempo en Consultar (RF-02), zonas por distritos reales y datos de demostración</t>
  </si>
  <si>
    <t xml:space="preserve">main (base 0186074)</t>
  </si>
  <si>
    <t xml:space="preserve">SoyJust (autor y quien fusionó el PR)</t>
  </si>
  <si>
    <t xml:space="preserve">4 commits: 043d302, 32bcc2b, b64ffd2, b3892b5; merge en main: d592b35 (16 commits en total en el historial documentado)</t>
  </si>
  <si>
    <t xml:space="preserve">Fusionado por SoyJust (autor) el 25/10/2026; revisado y aprobado en GitHub por justzonagamer-rgb el 26/10/2026 (revisión posterior a la fusión)</t>
  </si>
  <si>
    <t xml:space="preserve">Integrado a main con el PR #2; hash en main tras la fusión: d592b35. Etiqueta semana11-100pct apunta a d592b35</t>
  </si>
  <si>
    <t xml:space="preserve">https://github.com/SoyJust/PiuraVigila/pull/2</t>
  </si>
  <si>
    <t xml:space="preserve">feature/apf3-rev3</t>
  </si>
  <si>
    <t xml:space="preserve">Incremento rev3: exportación de zonas a Excel (Apache POI), librerías de apoyo (Guava, Commons Lang 3, Logback), token CSRF en los formularios públicos y validación de fotos</t>
  </si>
  <si>
    <t xml:space="preserve">main (base d592b35)</t>
  </si>
  <si>
    <t xml:space="preserve">1 commit: 52468ca; merge en main: 9d70079 (18 commits en total en el historial documentado)</t>
  </si>
  <si>
    <t xml:space="preserve">Revisado y fusionado por SoyJust (autor); sin revisión de otro integrante</t>
  </si>
  <si>
    <t xml:space="preserve">Integrado a main con el PR #3; hash en main tras la fusión: 9d70079. Etiqueta apf3-rev3</t>
  </si>
  <si>
    <t xml:space="preserve">https://github.com/SoyJust/PiuraVigila/pull/3</t>
  </si>
  <si>
    <t xml:space="preserve">Trazabilidad del cambio al historial</t>
  </si>
  <si>
    <t xml:space="preserve">Requisito / incidencia</t>
  </si>
  <si>
    <t xml:space="preserve">Cambio realizado</t>
  </si>
  <si>
    <t xml:space="preserve">Capa / componente</t>
  </si>
  <si>
    <t xml:space="preserve">Archivo(s)</t>
  </si>
  <si>
    <t xml:space="preserve">Rama</t>
  </si>
  <si>
    <t xml:space="preserve">Commit</t>
  </si>
  <si>
    <t xml:space="preserve">Prueba</t>
  </si>
  <si>
    <t xml:space="preserve">Resultado observable</t>
  </si>
  <si>
    <t xml:space="preserve">Impacto BD / UI</t>
  </si>
  <si>
    <t xml:space="preserve">Evidencia</t>
  </si>
  <si>
    <t xml:space="preserve">RF-07 Habilitar categoría (P03) · WBS 1.3.3</t>
  </si>
  <si>
    <t xml:space="preserve">Exigir rol administrador y ocultar el formulario al operador</t>
  </si>
  <si>
    <t xml:space="preserve">Controller / View</t>
  </si>
  <si>
    <t xml:space="preserve">46b7fa9 (fix(panel))</t>
  </si>
  <si>
    <t xml:space="preserve">PV-T41 (T-22)</t>
  </si>
  <si>
    <t xml:space="preserve">Operador recibe error y CategoriaService no se invoca</t>
  </si>
  <si>
    <t xml:space="preserve">UI: formulario solo para administrador. Sin cambio de BD</t>
  </si>
  <si>
    <t xml:space="preserve">Trazado</t>
  </si>
  <si>
    <t xml:space="preserve">EV-03 (PV-T41); EV-13</t>
  </si>
  <si>
    <t xml:space="preserve">RNF-01 Acceso del personal al panel · WBS 1.3.3</t>
  </si>
  <si>
    <t xml:space="preserve">Usuario operador en el seed y su contraseña inicial por variable de entorno</t>
  </si>
  <si>
    <t xml:space="preserve">Config / BD</t>
  </si>
  <si>
    <t xml:space="preserve">3621201 (feat(seed))</t>
  </si>
  <si>
    <t xml:space="preserve">EV-11 (consulta de hash)</t>
  </si>
  <si>
    <t xml:space="preserve">Login de operador funciona tras definir PIURA_OPERADOR_PASSWORD</t>
  </si>
  <si>
    <t xml:space="preserve">BD: nueva fila en usuario_municipal</t>
  </si>
  <si>
    <t xml:space="preserve">EV-11</t>
  </si>
  <si>
    <t xml:space="preserve">RF-04 Mapa de zonas críticas (P04) · WBS 1.3.4</t>
  </si>
  <si>
    <t xml:space="preserve">Mapa esquemático P04 por zona y periodo (incremento respecto del 30 %)</t>
  </si>
  <si>
    <t xml:space="preserve">c144f2e (feat(panel))</t>
  </si>
  <si>
    <t xml:space="preserve">Captura de /panel/mapa</t>
  </si>
  <si>
    <t xml:space="preserve">Cuadrícula con conteo por zona (incluye vinculados)</t>
  </si>
  <si>
    <t xml:space="preserve">UI: nueva pantalla P04. Sin cambio de BD</t>
  </si>
  <si>
    <t xml:space="preserve">EV-12</t>
  </si>
  <si>
    <t xml:space="preserve">RNF-01 Acceso del personal al panel (login) · WBS 1.3.3</t>
  </si>
  <si>
    <t xml:space="preserve">Iniciar sesión también cuando no existe una sesión previa</t>
  </si>
  <si>
    <t xml:space="preserve">Controller</t>
  </si>
  <si>
    <t xml:space="preserve">6ac9689 (fix(login))</t>
  </si>
  <si>
    <t xml:space="preserve">PV-T43</t>
  </si>
  <si>
    <t xml:space="preserve">El operador inicia sesión tras cerrar la sesión del administrador</t>
  </si>
  <si>
    <t xml:space="preserve">Sin cambio de BD ni de UI</t>
  </si>
  <si>
    <t xml:space="preserve">EV-14 (PV-T43, captura); EV-10 (login del operador)</t>
  </si>
  <si>
    <t xml:space="preserve">Pruebas T-13, T-22, T-24 (Semana 9 rev2) · WBS 1.4</t>
  </si>
  <si>
    <t xml:space="preserve">Pruebas de sesión, CSRF, rol y R02</t>
  </si>
  <si>
    <t xml:space="preserve">ab6653b (test(panel)) y ed70900 (test(login))</t>
  </si>
  <si>
    <t xml:space="preserve">mvn test</t>
  </si>
  <si>
    <t xml:space="preserve">Pruebas verdes con JUnit real: mvn test final, 42 pruebas, 0 fallos (24/10/2026)</t>
  </si>
  <si>
    <t xml:space="preserve">Ninguno</t>
  </si>
  <si>
    <t xml:space="preserve">EV-03 (41 pruebas) y EV-14 (42 pruebas, captura)</t>
  </si>
  <si>
    <t xml:space="preserve">Mostrar cada reporte con ubicación como un punto en un mapa (Leaflet + OpenStreetMap), coloreado por estado, además de la cuadrícula por zona</t>
  </si>
  <si>
    <t xml:space="preserve">Controller / Service / DAO / View</t>
  </si>
  <si>
    <t xml:space="preserve">PanelController.java, DashboardService.java, ReporteDAO.java, ReporteDAOJdbc.java, PuntoReporte.java, mapa.html, piuravigila.css</t>
  </si>
  <si>
    <t xml:space="preserve">32bcc2b (feat)</t>
  </si>
  <si>
    <t xml:space="preserve">Captura de /panel/mapa (sin prueba automática propia)</t>
  </si>
  <si>
    <t xml:space="preserve">Mapa con 15 puntos en el periodo de 7 días; un vinculado muestra el código y el estado de su caso original</t>
  </si>
  <si>
    <t xml:space="preserve">UI: nuevo mapa en P04. Sin cambio de BD (usa lat y lng ya existentes)</t>
  </si>
  <si>
    <t xml:space="preserve">EV-17</t>
  </si>
  <si>
    <t xml:space="preserve">RF-02 Consultar estado (P02)</t>
  </si>
  <si>
    <t xml:space="preserve">Mostrar la línea de tiempo del caso (Recibido → En proceso → Atendido) con la fecha de cada paso, sin mostrar al responsable</t>
  </si>
  <si>
    <t xml:space="preserve">Service / DTO / View</t>
  </si>
  <si>
    <t xml:space="preserve">ReporteService.java, ConsultaEstado.java, PasoEstado.java, consultar.html, piuravigila.css</t>
  </si>
  <si>
    <t xml:space="preserve">PV-T44 y PV-T45</t>
  </si>
  <si>
    <t xml:space="preserve">La pantalla muestra los tres pasos; los no alcanzados salen como «Pendiente»</t>
  </si>
  <si>
    <t xml:space="preserve">UI: nueva sección «Seguimiento» en P02. Sin cambio de BD</t>
  </si>
  <si>
    <t xml:space="preserve">EV-16 (PV-T44, PV-T45); EV-18</t>
  </si>
  <si>
    <t xml:space="preserve">Zonas de reporte (distritos de Piura)</t>
  </si>
  <si>
    <t xml:space="preserve">Cambiar las 6 zonas del seed de nombres genéricos a distritos reales</t>
  </si>
  <si>
    <t xml:space="preserve">BD / Seed</t>
  </si>
  <si>
    <t xml:space="preserve">02_seed.sql</t>
  </si>
  <si>
    <t xml:space="preserve">b64ffd2 (feat)</t>
  </si>
  <si>
    <t xml:space="preserve">Conteos por zona en el mapa (EV-17)</t>
  </si>
  <si>
    <t xml:space="preserve">Piura, Castilla, Veintiséis de Octubre, Catacaos, La Arena y La Unión en el formulario y en el mapa</t>
  </si>
  <si>
    <t xml:space="preserve">BD: nombres de zona (en una base ya creada se aplicó un UPDATE). Sin cambio de esquema</t>
  </si>
  <si>
    <t xml:space="preserve">EV-17; EV-06</t>
  </si>
  <si>
    <t xml:space="preserve">Datos de demostración del APF3</t>
  </si>
  <si>
    <t xml:space="preserve">Script con 20 casos y 8 reportes vinculados ficticios para ver el panel y el mapa con contenido</t>
  </si>
  <si>
    <t xml:space="preserve">BD / Script</t>
  </si>
  <si>
    <t xml:space="preserve">04_datos_demo.sql</t>
  </si>
  <si>
    <t xml:space="preserve">Conteos en el mapa y el panel (EV-17)</t>
  </si>
  <si>
    <t xml:space="preserve">El panel, el resumen y el mapa muestran contenido; los datos se reconocen por dispositivo_id «demo-…»</t>
  </si>
  <si>
    <t xml:space="preserve">BD: filas de demostración (se quitan con los DELETE del final del script)</t>
  </si>
  <si>
    <t xml:space="preserve">EV-20; EV-17</t>
  </si>
  <si>
    <t xml:space="preserve">Seguridad · no versionar claves (RNF-01)</t>
  </si>
  <si>
    <t xml:space="preserve">Excluir config/ (claves locales de la BD) y uploads/ del repositorio</t>
  </si>
  <si>
    <t xml:space="preserve">Configuración</t>
  </si>
  <si>
    <t xml:space="preserve">043d302 (chore)</t>
  </si>
  <si>
    <t xml:space="preserve">git status antes del push</t>
  </si>
  <si>
    <t xml:space="preserve">config/ no se sube a GitHub</t>
  </si>
  <si>
    <t xml:space="preserve">EV-19 (PR #2)</t>
  </si>
  <si>
    <t xml:space="preserve">RNF-01 · Librerías de apoyo del APF3</t>
  </si>
  <si>
    <t xml:space="preserve">Incorporar Guava, Apache POI, Apache Commons Lang 3 y Logback con un uso real en el código</t>
  </si>
  <si>
    <t xml:space="preserve">Configuración / Service / config</t>
  </si>
  <si>
    <t xml:space="preserve">pom.xml, FotoStorageDisco.java, ExportacionService.java, ValidadorReporte.java, application.properties</t>
  </si>
  <si>
    <t xml:space="preserve">52468ca (feat)</t>
  </si>
  <si>
    <t xml:space="preserve">mvn clean test: 54 pruebas, 0 fallos (EV-21)</t>
  </si>
  <si>
    <t xml:space="preserve">Las cuatro librerías están declaradas y se usan en el código</t>
  </si>
  <si>
    <t xml:space="preserve">EV-25; EV-21</t>
  </si>
  <si>
    <t xml:space="preserve">RF-04 · Exportar zonas a Excel</t>
  </si>
  <si>
    <t xml:space="preserve">Descargar los conteos por zona en un .xlsx, solo con sesión municipal</t>
  </si>
  <si>
    <t xml:space="preserve">Controller / Service / View</t>
  </si>
  <si>
    <t xml:space="preserve">ExportacionController.java, ExportacionService.java, panel.html</t>
  </si>
  <si>
    <t xml:space="preserve">PV-T50 a PV-T52 y PV-T55</t>
  </si>
  <si>
    <t xml:space="preserve">El panel ofrece «Descargar zonas en Excel»; el archivo solo lleva conteos por zona</t>
  </si>
  <si>
    <t xml:space="preserve">UI: enlace en P03. Sin cambio de BD</t>
  </si>
  <si>
    <t xml:space="preserve">EV-21; FV-07</t>
  </si>
  <si>
    <t xml:space="preserve">RNF-01 · Seguridad de los formularios públicos</t>
  </si>
  <si>
    <t xml:space="preserve">Token CSRF en el registro y en la respuesta al duplicado; 403 si falta o es de otra sesión</t>
  </si>
  <si>
    <t xml:space="preserve">ReporteController.java, Csrf.java, reportar.html, duplicado.html</t>
  </si>
  <si>
    <t xml:space="preserve">PV-T48, PV-T49, PV-T53 y PV-T54</t>
  </si>
  <si>
    <t xml:space="preserve">Sin token válido el formulario no registra nada</t>
  </si>
  <si>
    <t xml:space="preserve">UI: campo oculto _csrf. Sin cambio de BD</t>
  </si>
  <si>
    <t xml:space="preserve">EV-21</t>
  </si>
  <si>
    <t xml:space="preserve">RNF-01 · Validación de fotos</t>
  </si>
  <si>
    <t xml:space="preserve">Aceptar solo JPG o PNG reales: el contenido debe coincidir con la extensión y se registra su huella SHA-256</t>
  </si>
  <si>
    <t xml:space="preserve">Service / config</t>
  </si>
  <si>
    <t xml:space="preserve">FotoStorageDisco.java, ValidadorReporte.java</t>
  </si>
  <si>
    <t xml:space="preserve">PV-T46 y PV-T47</t>
  </si>
  <si>
    <t xml:space="preserve">Un archivo disfrazado de foto se rechaza</t>
  </si>
  <si>
    <t xml:space="preserve">Automatización de pruebas</t>
  </si>
  <si>
    <t xml:space="preserve">Ejecutar mvn clean verify en GitHub Actions en cada push y pull request</t>
  </si>
  <si>
    <t xml:space="preserve">.github/workflows/pruebas.yml</t>
  </si>
  <si>
    <t xml:space="preserve">Resultado de cada corrida en la pestaña Actions de GitHub</t>
  </si>
  <si>
    <t xml:space="preserve">Las pruebas corren sin depender de la laptop</t>
  </si>
  <si>
    <t xml:space="preserve">EV-24</t>
  </si>
  <si>
    <t xml:space="preserve">Arquitectura utilizada y observaciones de implementación</t>
  </si>
  <si>
    <t xml:space="preserve">Ruta</t>
  </si>
  <si>
    <t xml:space="preserve">Entrada</t>
  </si>
  <si>
    <t xml:space="preserve">Negocio</t>
  </si>
  <si>
    <t xml:space="preserve">Persistencia</t>
  </si>
  <si>
    <t xml:space="preserve">Tecnología de acceso</t>
  </si>
  <si>
    <t xml:space="preserve">BD</t>
  </si>
  <si>
    <t xml:space="preserve">Qué observar</t>
  </si>
  <si>
    <t xml:space="preserve">A · JDBC</t>
  </si>
  <si>
    <t xml:space="preserve">View/Controller</t>
  </si>
  <si>
    <t xml:space="preserve">Service</t>
  </si>
  <si>
    <t xml:space="preserve">DAO</t>
  </si>
  <si>
    <t xml:space="preserve">JDBC / PreparedStatement</t>
  </si>
  <si>
    <t xml:space="preserve">PostgreSQL</t>
  </si>
  <si>
    <t xml:space="preserve">SQL explícito, transacciones, separación DAO</t>
  </si>
  <si>
    <t xml:space="preserve">Ejemplo</t>
  </si>
  <si>
    <t xml:space="preserve">B · Web JPA/Hibernate</t>
  </si>
  <si>
    <t xml:space="preserve">HTTP/Web Controller</t>
  </si>
  <si>
    <t xml:space="preserve">Repository</t>
  </si>
  <si>
    <t xml:space="preserve">JPA EntityManager / Hibernate</t>
  </si>
  <si>
    <t xml:space="preserve">SQL generado, N+1, fetch, transacción, paginación, índices</t>
  </si>
  <si>
    <t xml:space="preserve">Ruta A · JDBC</t>
  </si>
  <si>
    <t xml:space="preserve">View (Thymeleaf) → @Controller</t>
  </si>
  <si>
    <t xml:space="preserve">Service (@Service, @Transactional)</t>
  </si>
  <si>
    <t xml:space="preserve">DAO: interfaz + implementación en dao.jdbc</t>
  </si>
  <si>
    <t xml:space="preserve">Spring JdbcTemplate (consultas parametrizadas con ?)</t>
  </si>
  <si>
    <t xml:space="preserve">Justificación verificable: (1) el diseño de APF2 ya usa SQL propio de PostgreSQL (secuencia seq_codigo_reporte con LPAD, índice parcial de duplicados, COUNT(*) FILTER en R01 a R03) y el DAO lo escribe tal cual; (2) el pom declara solo spring-boot-starter-jdbc: no hay JPA/Hibernate; (3) el Service depende de interfaces DAO, por eso las 40 pruebas de service corren con DAO simulados y sin BD; (4) los filtros dinámicos (listarCasos) solo agregan fragmentos fijos y los valores van como parámetros. Observar: @Transactional en ReporteService y que los 5 DAO JDBC se ejecutaron contra PostgreSQL desde la aplicación (registro, consulta, panel y mapa). No se afirma ninguna optimización de rendimiento: no hay evidencia medida.</t>
  </si>
  <si>
    <t xml:space="preserve">Validado</t>
  </si>
  <si>
    <t xml:space="preserve">Checklist de evidencia del avance 40 %</t>
  </si>
  <si>
    <t xml:space="preserve">Criterio</t>
  </si>
  <si>
    <t xml:space="preserve">Sí/No</t>
  </si>
  <si>
    <t xml:space="preserve">Semáforo</t>
  </si>
  <si>
    <t xml:space="preserve">El Proyecto Integrador está en un repositorio Git identificable.</t>
  </si>
  <si>
    <t xml:space="preserve">Sí</t>
  </si>
  <si>
    <t xml:space="preserve">https://github.com/SoyJust/PiuraVigila (público; rama main con el merge 0186074; commits base 21ef549 y 8ba19aa; 11 commits en total)</t>
  </si>
  <si>
    <t xml:space="preserve">Verde</t>
  </si>
  <si>
    <t xml:space="preserve">La rama principal contiene una versión coherente y ejecutable o verificable.</t>
  </si>
  <si>
    <t xml:space="preserve">main contiene el código v0.8 con el avance 40 % integrado (merge 0186074 del PR #1); mvn test: 42 pruebas, 0 fallos (24/10/2026, EV-14)</t>
  </si>
  <si>
    <t xml:space="preserve">Los 8 commits de feature/apf3-rev1 están integrados en main mediante el merge 0186074; tag semana11-40pct subido a GitHub</t>
  </si>
  <si>
    <t xml:space="preserve">El equipo utilizó al menos una rama de trabajo real.</t>
  </si>
  <si>
    <t xml:space="preserve">La rama feature/apf3-rev1 existe, creada desde main (base 8ba19aa) el 23/10/2026 (git reflog) y está publicada en GitHub (PR #1)</t>
  </si>
  <si>
    <t xml:space="preserve">Rama subida a GitHub con push; integrada en main con el merge 0186074</t>
  </si>
  <si>
    <t xml:space="preserve">Los commits representan cambios pequeños o razonablemente revisables.</t>
  </si>
  <si>
    <t xml:space="preserve">8 commits de 1 a 4 archivos cada uno (git log --stat): 2, 3, 4, 1, 2, 1, 1 y 1 archivos</t>
  </si>
  <si>
    <t xml:space="preserve">Los mensajes de commit describen cambios concretos.</t>
  </si>
  <si>
    <t xml:space="preserve">Mensajes tipo fix/feat/test/docs con alcance, p. ej. «fix(panel): exigir rol administrador en habilitarCategoria()» (git log)</t>
  </si>
  <si>
    <t xml:space="preserve">No se versionaron contraseñas, credenciales ni secretos.</t>
  </si>
  <si>
    <t xml:space="preserve">Revisados los 11 commits del repositorio (2 base, 8 de feature/apf3-rev1 y el merge 0186074): sin contraseñas ni tokens asignados en el código; credenciales por variables de entorno (PIURA_DB_*, PIURA_ADMIN_PASSWORD, PIURA_OPERADOR_PASSWORD); el seed solo trae HASH_PENDIENTE</t>
  </si>
  <si>
    <t xml:space="preserve">Revisión repetida tras crear los 8 commits y el merge (git log -p): sin hallazgos</t>
  </si>
  <si>
    <t xml:space="preserve">El .gitignore excluye artefactos generados y archivos locales innecesarios.</t>
  </si>
  <si>
    <t xml:space="preserve">.gitignore excluye target/, logs/, fotos/, *.iml, .idea/, .vscode/ y env.sh; ninguno de esos archivos está versionado (git ls-files)</t>
  </si>
  <si>
    <t xml:space="preserve">Existe trazabilidad entre al menos un requisito y sus commits.</t>
  </si>
  <si>
    <t xml:space="preserve">Hoja Trazabilidad con los hashes reales: 46b7fa9, 3621201, c144f2e, 6ac9689, ab6653b y ed70900</t>
  </si>
  <si>
    <t xml:space="preserve">El avance conserva la separación Controller/Service/Persistencia.</t>
  </si>
  <si>
    <t xml:space="preserve">Matriz de arquitectura Semana 9 rev2 (C-01 a C-42) y diagrama de jerarquía: View → Controller → Service → DAO</t>
  </si>
  <si>
    <t xml:space="preserve">La persistencia elegida (DAO/JDBC o Repository/JPA) está justificada.</t>
  </si>
  <si>
    <t xml:space="preserve">Ruta A · JDBC (JdbcTemplate + DAO): justificación verificable en la hoja Arquitectura</t>
  </si>
  <si>
    <t xml:space="preserve">Sin optimizaciones ORM afirmadas</t>
  </si>
  <si>
    <t xml:space="preserve">Si se usa JPA/Hibernate, no se colocan consultas/reglas centrales en la vista o controller.</t>
  </si>
  <si>
    <t xml:space="preserve">No aplica: el proyecto usa JDBC, no JPA/Hibernate</t>
  </si>
  <si>
    <t xml:space="preserve">Los controladores no tienen SQL ni reglas de negocio</t>
  </si>
  <si>
    <t xml:space="preserve">Existe evidencia de prueba, ejecución o comportamiento del avance.</t>
  </si>
  <si>
    <t xml:space="preserve">mvn test final: 42 pruebas, 0 fallos (24/10/2026, captura EV-14; EV-03 del 23/10/2026 muestra 41). Aplicación ejecutada con PostgreSQL: registro (PR-2026-0001), consulta, panel de administrador y de operador, mapa P04</t>
  </si>
  <si>
    <t xml:space="preserve">Defecto DEF-01 (error al registrar reporte) resuelto el 24/10/2026; registro PR-2026-0002 y línea del log capturados</t>
  </si>
  <si>
    <t xml:space="preserve">El equipo puede explicar una modificación mediante git diff o historial.</t>
  </si>
  <si>
    <t xml:space="preserve">Practicado git diff y git show &lt;hash&gt; sobre los commits del avance (p. ej. 46b7fa9, 6ac9689) y el historial del merge 0186074</t>
  </si>
  <si>
    <t xml:space="preserve">Existe revisión antes de integrar la rama al hito.</t>
  </si>
  <si>
    <t xml:space="preserve">PR #1 de feature/apf3-rev1 a main, revisado por justzonagamer-rgb (integrante distinto del autor): https://github.com/SoyJust/PiuraVigila/pull/1</t>
  </si>
  <si>
    <t xml:space="preserve">Los conflictos, si existieron, se resolvieron conscientemente.</t>
  </si>
  <si>
    <t xml:space="preserve">No se informaron conflictos al fusionar el PR #1</t>
  </si>
  <si>
    <t xml:space="preserve">El avance 40 % está integrado al sistema de control de versiones.</t>
  </si>
  <si>
    <t xml:space="preserve">PR #1 fusionado a main (merge 0186074), tag semana11-40pct subido a GitHub y 11 commits en total; mvn test final 42 pruebas, 0 fallos (captura EV-14, 24/10/2026 18:06)</t>
  </si>
  <si>
    <t xml:space="preserve">Incremento respecto del 30 %: mapa P04 (RF-04) y control de rol (RF-07). Tag semana11-40pct publicado en GitHub</t>
  </si>
  <si>
    <t xml:space="preserve">Se identificaron correcciones posteriores a la retroalimentación.</t>
  </si>
  <si>
    <t xml:space="preserve">Control de cambios del APF1 (Rev. APF1, 15/10/2026): RF-05, RN-01, RF-06, RNF-03 y RF-07 a partir de la observación del docente. Avance: rol administrador, usuario operador, mapa P04</t>
  </si>
  <si>
    <t xml:space="preserve">Documentadas e integradas: los commits de feature/apf3-rev1 están en main (merge 0186074) y el tag semana11-40pct está en GitHub</t>
  </si>
  <si>
    <t xml:space="preserve">Checklist de evidencia · incremento rev2 (PR #2, etiqueta semana11-100pct)</t>
  </si>
  <si>
    <t xml:space="preserve">https://github.com/SoyJust/PiuraVigila (público; rama main con el merge d592b35 del PR #2; 16 commits en total en el historial documentado)</t>
  </si>
  <si>
    <t xml:space="preserve">main contiene el código v0.8 rev2 con el incremento integrado (merge d592b35 del PR #2); mvn test: 44 pruebas, 0 fallos (25/10/2026, EV-16)</t>
  </si>
  <si>
    <t xml:space="preserve">Los 4 commits de feature/apf3-rev2 están integrados en main; etiqueta semana11-100pct subida a GitHub</t>
  </si>
  <si>
    <t xml:space="preserve">La rama feature/apf3-rev2 se creó desde main (base 0186074) y está publicada en GitHub (PR #2)</t>
  </si>
  <si>
    <t xml:space="preserve">Integrada en main con el merge d592b35</t>
  </si>
  <si>
    <t xml:space="preserve">4 commits: 043d302 (solo .gitignore), b64ffd2 (solo database/), b3892b5 (solo README.md) y 32bcc2b (varios archivos de src/); detalle con git log --stat</t>
  </si>
  <si>
    <t xml:space="preserve">32bcc2b agrupa varios cambios (mapa, línea de tiempo e interfaz); en el próximo avance conviene separarlos</t>
  </si>
  <si>
    <t xml:space="preserve">Amarillo</t>
  </si>
  <si>
    <t xml:space="preserve">Mensajes tipo chore/feat/docs con alcance, p. ej. «docs: actualizar README (zonas, datos de demo, mapa y linea de tiempo)» (git log)</t>
  </si>
  <si>
    <t xml:space="preserve">config/ (claves locales de la base) y uploads/ se agregaron al .gitignore antes de agregar los demás cambios (commit 043d302); credenciales por variables de entorno (PIURA_DB_*, PIURA_ADMIN_PASSWORD, PIURA_OPERADOR_PASSWORD); el seed solo trae HASH_PENDIENTE; los datos de demostración son ficticios</t>
  </si>
  <si>
    <t xml:space="preserve">Comprobación: git ls-files no debe listar archivos de config/</t>
  </si>
  <si>
    <t xml:space="preserve">.gitignore excluye target/, logs/, fotos/, *.iml, .idea/, .vscode/, env.sh y, desde 043d302, config/ y uploads/</t>
  </si>
  <si>
    <t xml:space="preserve">Hoja Trazabilidad con los hashes reales de rev2: 32bcc2b, b64ffd2 y 043d302</t>
  </si>
  <si>
    <t xml:space="preserve">Matriz de arquitectura Semana 9 rev3 (C-01 a C-44) y diagrama de jerarquía: View → Controller → Service → DAO</t>
  </si>
  <si>
    <t xml:space="preserve">mvn test final: 44 pruebas, 0 fallos (25/10/2026 12:08, captura EV-16). Mapa con puntos (EV-17) y línea de tiempo en Consultar (EV-18) ejecutados en el navegador con PostgreSQL y datos de demostración</t>
  </si>
  <si>
    <t xml:space="preserve">Defecto DEF-01 resuelto el 24/10/2026 (EV-15)</t>
  </si>
  <si>
    <t xml:space="preserve">Historial disponible: git log y git show de 043d302, 32bcc2b, b64ffd2 y b3892b5, y el merge d592b35 (hoja Commits)</t>
  </si>
  <si>
    <t xml:space="preserve">PR #2 de feature/apf3-rev2 a main: https://github.com/SoyJust/PiuraVigila/pull/2. Fusionado por SoyJust (autor) el 25/10/2026; revisado y aprobado en GitHub por justzonagamer-rgb el 26/10/2026 (revisión posterior a la fusión)</t>
  </si>
  <si>
    <t xml:space="preserve">La revisión por un integrante distinto del autor quedó registrada en el PR #2</t>
  </si>
  <si>
    <t xml:space="preserve">No se informaron conflictos al fusionar el PR #2</t>
  </si>
  <si>
    <t xml:space="preserve">PR #2 fusionado a main (merge d592b35), etiqueta semana11-100pct subida a GitHub y 16 commits en total; mvn test final 44 pruebas, 0 fallos (captura EV-16, 25/10/2026 12:08)</t>
  </si>
  <si>
    <t xml:space="preserve">Incremento respecto del avance 40 %: mapa con puntos (RF-04), línea de tiempo en Consultar (RF-02), zonas por distritos y datos de demostración</t>
  </si>
  <si>
    <t xml:space="preserve">Mejoras decididas por el grupo al revisar el sistema: zonas genéricas → distritos reales, mapa con puntos y línea de tiempo del caso. Siguen vigentes las correcciones del control de cambios del APF1 (Rev. APF1, 15/10/2026)</t>
  </si>
  <si>
    <t xml:space="preserve">No provienen de una observación nueva del docente</t>
  </si>
  <si>
    <t xml:space="preserve">Checklist de evidencia · incremento rev3 (PR #3, etiqueta apf3-rev3)</t>
  </si>
  <si>
    <t xml:space="preserve">https://github.com/SoyJust/PiuraVigila (público; rama main con el merge 9d70079 del PR #3; 18 commits en total en el historial documentado)</t>
  </si>
  <si>
    <t xml:space="preserve">main contiene el código v0.8 rev3 (merge 9d70079 del PR #3); mvn clean test: 54 pruebas, 0 fallos, BUILD SUCCESS (27/10/2026 16:03, EV-21)</t>
  </si>
  <si>
    <t xml:space="preserve">Etiqueta apf3-rev3 subida a GitHub; las pruebas también corren en GitHub Actions (.github/workflows/pruebas.yml, EV-24)</t>
  </si>
  <si>
    <t xml:space="preserve">La rama feature/apf3-rev3 se creó desde main (base d592b35) y está publicada en GitHub (PR #3)</t>
  </si>
  <si>
    <t xml:space="preserve">Integrada en main con el merge 9d70079</t>
  </si>
  <si>
    <t xml:space="preserve">1 commit de contenido en rev3 (52468ca) más el merge 9d70079; detalle con git log --stat</t>
  </si>
  <si>
    <t xml:space="preserve">52468ca agrupa exportación, librerías y seguridad; en el próximo avance conviene separarlos</t>
  </si>
  <si>
    <t xml:space="preserve">Mensaje tipo feat con alcance: «feat: exportacion Excel, librerias (Guava, POI, Commons, Logback) y validaciones de seguridad» (git log)</t>
  </si>
  <si>
    <t xml:space="preserve">config/ y uploads/ siguen fuera de GitHub (.gitignore, commit 043d302); credenciales por variables de entorno (PIURA_DB_*, PIURA_ADMIN_PASSWORD, PIURA_OPERADOR_PASSWORD); el seed solo trae HASH_PENDIENTE; los datos de demostración son ficticios y el Excel exportado solo lleva conteos por zona</t>
  </si>
  <si>
    <t xml:space="preserve">Comprobación: git ls-files config uploads no debe listar nada</t>
  </si>
  <si>
    <t xml:space="preserve">.gitignore excluye target/, logs/, fotos/, *.iml, .idea/, .vscode/, env.sh, config/ y uploads/</t>
  </si>
  <si>
    <t xml:space="preserve">Hoja Trazabilidad con los hashes reales de rev3: 52468ca y 9d70079</t>
  </si>
  <si>
    <t xml:space="preserve">Matriz de arquitectura Semana 9 rev4 (C-01 a C-46) y diagrama de jerarquía: View → Controller → Service → DAO</t>
  </si>
  <si>
    <t xml:space="preserve">mvn clean test: 54 pruebas, 0 fallos (laptop del equipo, 27/10/2026, EV-21) y una segunda corrida independiente con JDK 17 (EV-22). La exportación a Excel se comprueba con PV-T50 a PV-T52 y PV-T55</t>
  </si>
  <si>
    <t xml:space="preserve">Falta la captura del Excel descargado desde el panel (FV-07)</t>
  </si>
  <si>
    <t xml:space="preserve">Historial disponible: git log y git show de 52468ca y del merge 9d70079 (hoja Commits)</t>
  </si>
  <si>
    <t xml:space="preserve">No</t>
  </si>
  <si>
    <t xml:space="preserve">PR #3 de feature/apf3-rev3 a main: https://github.com/SoyJust/PiuraVigila/pull/3. Revisado y fusionado por SoyJust (autor); no hay revisión de otro integrante</t>
  </si>
  <si>
    <t xml:space="preserve">El PR #3 no tuvo revisor independiente; es una limitación del equipo y no cambia el código ni las pruebas</t>
  </si>
  <si>
    <t xml:space="preserve">No se informaron conflictos al fusionar el PR #3</t>
  </si>
  <si>
    <t xml:space="preserve">PR #3 fusionado a main (merge 9d70079), etiqueta apf3-rev3 subida a GitHub y 18 commits en total; mvn clean test: 54 pruebas, 0 fallos (EV-21)</t>
  </si>
  <si>
    <t xml:space="preserve">Incremento rev3: exportación a Excel, librerías de apoyo (Guava, Apache POI, Commons Lang 3, Logback) y validaciones de seguridad</t>
  </si>
  <si>
    <t xml:space="preserve">Mejoras para cubrir la rúbrica del APF3: librerías de apoyo y seguridad de formularios y fotos. Siguen vigentes las correcciones del control de cambios del APF1 (Rev. APF1, 15/10/2026)</t>
  </si>
  <si>
    <t xml:space="preserve">Hecho por el grupo a partir de la rúbrica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</si>
</sst>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10"/>
      <color rgb="FF7A4E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91C1C"/>
        <bgColor rgb="FF991B1B"/>
      </patternFill>
    </fill>
    <fill>
      <patternFill patternType="solid">
        <fgColor rgb="FF111827"/>
        <bgColor rgb="FF000000"/>
      </patternFill>
    </fill>
    <fill>
      <patternFill patternType="solid">
        <fgColor rgb="FFFFF7CC"/>
        <bgColor rgb="FFFEF3C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166534"/>
      </font>
      <fill>
        <patternFill>
          <bgColor rgb="FFDCFCE7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991B1B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7A4E00"/>
      <rgbColor rgb="FF800080"/>
      <rgbColor rgb="FF008080"/>
      <rgbColor rgb="FFC0C0C0"/>
      <rgbColor rgb="FF808080"/>
      <rgbColor rgb="FF9999FF"/>
      <rgbColor rgb="FFB91C1C"/>
      <rgbColor rgb="FFFFF7CC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EF3C7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240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4" t="s">
        <v>1</v>
      </c>
      <c r="B3" s="4" t="s">
        <v>2</v>
      </c>
      <c r="C3" s="3"/>
      <c r="D3" s="5" t="s">
        <v>3</v>
      </c>
      <c r="E3" s="5"/>
      <c r="F3" s="5"/>
      <c r="G3" s="5"/>
      <c r="H3" s="5"/>
      <c r="I3" s="3"/>
      <c r="J3" s="3"/>
      <c r="K3" s="3"/>
    </row>
    <row r="4" customFormat="false" ht="15" hidden="false" customHeight="true" outlineLevel="0" collapsed="false">
      <c r="A4" s="6" t="s">
        <v>4</v>
      </c>
      <c r="B4" s="6" t="n">
        <f aca="false">COUNTA(Commits!A5:A104)</f>
        <v>18</v>
      </c>
      <c r="C4" s="3"/>
      <c r="D4" s="7" t="s">
        <v>5</v>
      </c>
      <c r="E4" s="7"/>
      <c r="F4" s="7"/>
      <c r="G4" s="7"/>
      <c r="H4" s="7"/>
      <c r="I4" s="3"/>
      <c r="J4" s="3"/>
      <c r="K4" s="3"/>
    </row>
    <row r="5" customFormat="false" ht="15" hidden="false" customHeight="true" outlineLevel="0" collapsed="false">
      <c r="A5" s="6" t="s">
        <v>6</v>
      </c>
      <c r="B5" s="6" t="n">
        <f aca="false">COUNTA(Ramas_PR!A5:A104)</f>
        <v>3</v>
      </c>
      <c r="C5" s="3"/>
      <c r="D5" s="7"/>
      <c r="E5" s="7"/>
      <c r="F5" s="7"/>
      <c r="G5" s="7"/>
      <c r="H5" s="7"/>
      <c r="I5" s="3"/>
      <c r="J5" s="3"/>
      <c r="K5" s="3"/>
    </row>
    <row r="6" customFormat="false" ht="15" hidden="false" customHeight="true" outlineLevel="0" collapsed="false">
      <c r="A6" s="6" t="s">
        <v>7</v>
      </c>
      <c r="B6" s="6" t="n">
        <f aca="false">COUNTA(Trazabilidad!A5:A104)</f>
        <v>15</v>
      </c>
      <c r="C6" s="3"/>
      <c r="D6" s="7"/>
      <c r="E6" s="7"/>
      <c r="F6" s="7"/>
      <c r="G6" s="7"/>
      <c r="H6" s="7"/>
      <c r="I6" s="3"/>
      <c r="J6" s="3"/>
      <c r="K6" s="3"/>
    </row>
    <row r="7" customFormat="false" ht="15" hidden="false" customHeight="true" outlineLevel="0" collapsed="false">
      <c r="A7" s="6" t="s">
        <v>8</v>
      </c>
      <c r="B7" s="6" t="n">
        <f aca="false">COUNTA(Arquitectura!A6:A104)</f>
        <v>1</v>
      </c>
      <c r="C7" s="3"/>
      <c r="D7" s="3"/>
      <c r="E7" s="3"/>
      <c r="F7" s="3"/>
      <c r="G7" s="3"/>
      <c r="H7" s="3"/>
      <c r="I7" s="3"/>
      <c r="J7" s="3"/>
      <c r="K7" s="3"/>
    </row>
    <row r="8" customFormat="false" ht="15" hidden="false" customHeight="true" outlineLevel="0" collapsed="false">
      <c r="A8" s="6" t="s">
        <v>9</v>
      </c>
      <c r="B8" s="6" t="n">
        <f aca="false">COUNTIF(Checklist_40!B4:B30,"Sí")</f>
        <v>17</v>
      </c>
      <c r="C8" s="3"/>
      <c r="D8" s="3"/>
      <c r="E8" s="3"/>
      <c r="F8" s="3"/>
      <c r="G8" s="3"/>
      <c r="H8" s="3"/>
      <c r="I8" s="3"/>
      <c r="J8" s="3"/>
      <c r="K8" s="3"/>
    </row>
    <row r="9" customFormat="false" ht="15" hidden="false" customHeight="true" outlineLevel="0" collapsed="false">
      <c r="A9" s="6" t="s">
        <v>10</v>
      </c>
      <c r="B9" s="8" t="n">
        <f aca="false">IFERROR(B8/COUNTA(Checklist_40!A4:A30),0)</f>
        <v>1</v>
      </c>
      <c r="C9" s="3"/>
      <c r="D9" s="3"/>
      <c r="E9" s="3"/>
      <c r="F9" s="3"/>
      <c r="G9" s="3"/>
      <c r="H9" s="3"/>
      <c r="I9" s="3"/>
      <c r="J9" s="3"/>
      <c r="K9" s="3"/>
    </row>
    <row r="10" customFormat="false" ht="15" hidden="false" customHeight="true" outlineLevel="0" collapsed="false">
      <c r="A10" s="6" t="s">
        <v>11</v>
      </c>
      <c r="B10" s="6" t="n">
        <f aca="false">COUNTIF(Checklist_Rev2!B4:B30,"Sí")</f>
        <v>17</v>
      </c>
      <c r="C10" s="3"/>
      <c r="D10" s="3"/>
      <c r="E10" s="3"/>
      <c r="F10" s="3"/>
      <c r="G10" s="3"/>
      <c r="H10" s="3"/>
      <c r="I10" s="3"/>
      <c r="J10" s="3"/>
      <c r="K10" s="3"/>
    </row>
    <row r="11" customFormat="false" ht="15" hidden="false" customHeight="true" outlineLevel="0" collapsed="false">
      <c r="A11" s="6" t="s">
        <v>12</v>
      </c>
      <c r="B11" s="8" t="n">
        <f aca="false">IFERROR(B10/COUNTA(Checklist_Rev2!A4:A30),0)</f>
        <v>1</v>
      </c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5" hidden="false" customHeight="true" outlineLevel="0" collapsed="false">
      <c r="A12" s="6" t="s">
        <v>13</v>
      </c>
      <c r="B12" s="6" t="n">
        <f aca="false">COUNTIF(Checklist_Rev3!B4:B30,"Sí")</f>
        <v>16</v>
      </c>
      <c r="C12" s="3"/>
      <c r="D12" s="3"/>
      <c r="E12" s="3"/>
      <c r="F12" s="3"/>
      <c r="G12" s="3"/>
      <c r="H12" s="3"/>
      <c r="I12" s="3"/>
      <c r="J12" s="3"/>
      <c r="K12" s="3"/>
    </row>
    <row r="13" customFormat="false" ht="15" hidden="false" customHeight="true" outlineLevel="0" collapsed="false">
      <c r="A13" s="6" t="s">
        <v>14</v>
      </c>
      <c r="B13" s="8" t="n">
        <f aca="false">IFERROR(B12/COUNTA(Checklist_Rev3!A4:A30),0)</f>
        <v>0.941176470588235</v>
      </c>
      <c r="C13" s="3"/>
      <c r="D13" s="3"/>
      <c r="E13" s="3"/>
      <c r="F13" s="3"/>
      <c r="G13" s="3"/>
      <c r="H13" s="3"/>
      <c r="I13" s="3"/>
      <c r="J13" s="3"/>
      <c r="K13" s="3"/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customFormat="false" ht="1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</sheetData>
  <mergeCells count="3">
    <mergeCell ref="A1:H1"/>
    <mergeCell ref="D3:H3"/>
    <mergeCell ref="D4:H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4"/>
    <col collapsed="false" customWidth="true" hidden="false" outlineLevel="0" max="3" min="3" style="1" width="19"/>
    <col collapsed="false" customWidth="true" hidden="false" outlineLevel="0" max="4" min="4" style="1" width="38"/>
    <col collapsed="false" customWidth="true" hidden="false" outlineLevel="0" max="5" min="5" style="1" width="28"/>
    <col collapsed="false" customWidth="true" hidden="false" outlineLevel="0" max="6" min="6" style="1" width="24"/>
    <col collapsed="false" customWidth="true" hidden="false" outlineLevel="0" max="7" min="7" style="1" width="26"/>
    <col collapsed="false" customWidth="true" hidden="false" outlineLevel="0" max="8" min="8" style="1" width="22"/>
    <col collapsed="false" customWidth="true" hidden="false" outlineLevel="0" max="9" min="9" style="1" width="25"/>
  </cols>
  <sheetData>
    <row r="1" customFormat="false" ht="20.25" hidden="false" customHeight="true" outlineLevel="0" collapsed="false">
      <c r="A1" s="2" t="s">
        <v>15</v>
      </c>
      <c r="B1" s="2"/>
      <c r="C1" s="2"/>
      <c r="D1" s="2"/>
      <c r="E1" s="2"/>
      <c r="F1" s="2"/>
      <c r="G1" s="2"/>
      <c r="H1" s="2"/>
      <c r="I1" s="2"/>
      <c r="J1" s="3"/>
      <c r="K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  <c r="J3" s="3"/>
      <c r="K3" s="3"/>
    </row>
    <row r="4" customFormat="false" ht="15" hidden="tru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3"/>
      <c r="K4" s="3"/>
    </row>
    <row r="5" customFormat="false" ht="44.25" hidden="false" customHeight="true" outlineLevel="0" collapsed="false">
      <c r="A5" s="9" t="s">
        <v>25</v>
      </c>
      <c r="B5" s="9" t="s">
        <v>26</v>
      </c>
      <c r="C5" s="9" t="s">
        <v>27</v>
      </c>
      <c r="D5" s="9" t="s">
        <v>28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33</v>
      </c>
      <c r="J5" s="3"/>
      <c r="K5" s="3"/>
    </row>
    <row r="6" customFormat="false" ht="57.75" hidden="false" customHeight="true" outlineLevel="0" collapsed="false">
      <c r="A6" s="9" t="s">
        <v>34</v>
      </c>
      <c r="B6" s="9" t="s">
        <v>26</v>
      </c>
      <c r="C6" s="9" t="s">
        <v>27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3"/>
      <c r="K6" s="3"/>
    </row>
    <row r="7" customFormat="false" ht="57.75" hidden="false" customHeight="true" outlineLevel="0" collapsed="false">
      <c r="A7" s="9" t="s">
        <v>41</v>
      </c>
      <c r="B7" s="9" t="s">
        <v>42</v>
      </c>
      <c r="C7" s="9" t="s">
        <v>27</v>
      </c>
      <c r="D7" s="9" t="s">
        <v>43</v>
      </c>
      <c r="E7" s="9" t="s">
        <v>44</v>
      </c>
      <c r="F7" s="9" t="s">
        <v>45</v>
      </c>
      <c r="G7" s="9" t="s">
        <v>46</v>
      </c>
      <c r="H7" s="9" t="s">
        <v>47</v>
      </c>
      <c r="I7" s="9" t="s">
        <v>48</v>
      </c>
      <c r="J7" s="3"/>
      <c r="K7" s="3"/>
    </row>
    <row r="8" customFormat="false" ht="84.75" hidden="false" customHeight="true" outlineLevel="0" collapsed="false">
      <c r="A8" s="9" t="s">
        <v>49</v>
      </c>
      <c r="B8" s="9" t="s">
        <v>42</v>
      </c>
      <c r="C8" s="9" t="s">
        <v>27</v>
      </c>
      <c r="D8" s="9" t="s">
        <v>50</v>
      </c>
      <c r="E8" s="9" t="s">
        <v>51</v>
      </c>
      <c r="F8" s="9" t="s">
        <v>52</v>
      </c>
      <c r="G8" s="9" t="s">
        <v>53</v>
      </c>
      <c r="H8" s="9" t="s">
        <v>54</v>
      </c>
      <c r="I8" s="9" t="s">
        <v>55</v>
      </c>
      <c r="J8" s="3"/>
      <c r="K8" s="3"/>
    </row>
    <row r="9" customFormat="false" ht="84.75" hidden="false" customHeight="true" outlineLevel="0" collapsed="false">
      <c r="A9" s="9" t="s">
        <v>56</v>
      </c>
      <c r="B9" s="9" t="s">
        <v>42</v>
      </c>
      <c r="C9" s="9" t="s">
        <v>27</v>
      </c>
      <c r="D9" s="9" t="s">
        <v>57</v>
      </c>
      <c r="E9" s="9" t="s">
        <v>58</v>
      </c>
      <c r="F9" s="9" t="s">
        <v>59</v>
      </c>
      <c r="G9" s="9" t="s">
        <v>60</v>
      </c>
      <c r="H9" s="9" t="s">
        <v>61</v>
      </c>
      <c r="I9" s="9" t="s">
        <v>62</v>
      </c>
      <c r="J9" s="3"/>
      <c r="K9" s="3"/>
    </row>
    <row r="10" customFormat="false" ht="57.75" hidden="false" customHeight="true" outlineLevel="0" collapsed="false">
      <c r="A10" s="9" t="s">
        <v>63</v>
      </c>
      <c r="B10" s="9" t="s">
        <v>42</v>
      </c>
      <c r="C10" s="9" t="s">
        <v>27</v>
      </c>
      <c r="D10" s="9" t="s">
        <v>64</v>
      </c>
      <c r="E10" s="9" t="s">
        <v>65</v>
      </c>
      <c r="F10" s="9" t="s">
        <v>66</v>
      </c>
      <c r="G10" s="9" t="s">
        <v>67</v>
      </c>
      <c r="H10" s="9" t="s">
        <v>68</v>
      </c>
      <c r="I10" s="9" t="s">
        <v>69</v>
      </c>
      <c r="J10" s="3"/>
      <c r="K10" s="3"/>
    </row>
    <row r="11" customFormat="false" ht="44.25" hidden="false" customHeight="true" outlineLevel="0" collapsed="false">
      <c r="A11" s="9" t="s">
        <v>70</v>
      </c>
      <c r="B11" s="9" t="s">
        <v>42</v>
      </c>
      <c r="C11" s="9" t="s">
        <v>27</v>
      </c>
      <c r="D11" s="9" t="s">
        <v>71</v>
      </c>
      <c r="E11" s="9" t="s">
        <v>72</v>
      </c>
      <c r="F11" s="9" t="s">
        <v>73</v>
      </c>
      <c r="G11" s="9" t="s">
        <v>74</v>
      </c>
      <c r="H11" s="9" t="s">
        <v>75</v>
      </c>
      <c r="I11" s="9" t="s">
        <v>76</v>
      </c>
      <c r="J11" s="3"/>
      <c r="K11" s="3"/>
    </row>
    <row r="12" customFormat="false" ht="84.75" hidden="false" customHeight="true" outlineLevel="0" collapsed="false">
      <c r="A12" s="9" t="s">
        <v>77</v>
      </c>
      <c r="B12" s="9" t="s">
        <v>78</v>
      </c>
      <c r="C12" s="9" t="s">
        <v>27</v>
      </c>
      <c r="D12" s="9" t="s">
        <v>79</v>
      </c>
      <c r="E12" s="9" t="s">
        <v>80</v>
      </c>
      <c r="F12" s="9" t="s">
        <v>81</v>
      </c>
      <c r="G12" s="9" t="s">
        <v>82</v>
      </c>
      <c r="H12" s="9" t="s">
        <v>83</v>
      </c>
      <c r="I12" s="9" t="s">
        <v>84</v>
      </c>
      <c r="J12" s="3"/>
      <c r="K12" s="3"/>
    </row>
    <row r="13" customFormat="false" ht="44.25" hidden="false" customHeight="true" outlineLevel="0" collapsed="false">
      <c r="A13" s="9" t="s">
        <v>85</v>
      </c>
      <c r="B13" s="9" t="s">
        <v>78</v>
      </c>
      <c r="C13" s="9" t="s">
        <v>27</v>
      </c>
      <c r="D13" s="9" t="s">
        <v>86</v>
      </c>
      <c r="E13" s="9" t="s">
        <v>65</v>
      </c>
      <c r="F13" s="9" t="s">
        <v>87</v>
      </c>
      <c r="G13" s="9" t="s">
        <v>88</v>
      </c>
      <c r="H13" s="9" t="s">
        <v>89</v>
      </c>
      <c r="I13" s="9" t="s">
        <v>90</v>
      </c>
      <c r="J13" s="3"/>
      <c r="K13" s="3"/>
    </row>
    <row r="14" customFormat="false" ht="57.75" hidden="false" customHeight="true" outlineLevel="0" collapsed="false">
      <c r="A14" s="9" t="s">
        <v>91</v>
      </c>
      <c r="B14" s="9" t="s">
        <v>78</v>
      </c>
      <c r="C14" s="9" t="s">
        <v>27</v>
      </c>
      <c r="D14" s="9" t="s">
        <v>92</v>
      </c>
      <c r="E14" s="9" t="s">
        <v>93</v>
      </c>
      <c r="F14" s="9" t="s">
        <v>94</v>
      </c>
      <c r="G14" s="9" t="s">
        <v>95</v>
      </c>
      <c r="H14" s="9" t="s">
        <v>96</v>
      </c>
      <c r="I14" s="9" t="s">
        <v>97</v>
      </c>
      <c r="J14" s="3"/>
      <c r="K14" s="3"/>
    </row>
    <row r="15" customFormat="false" ht="57.75" hidden="false" customHeight="true" outlineLevel="0" collapsed="false">
      <c r="A15" s="9" t="s">
        <v>98</v>
      </c>
      <c r="B15" s="9" t="s">
        <v>78</v>
      </c>
      <c r="C15" s="9" t="s">
        <v>27</v>
      </c>
      <c r="D15" s="9" t="s">
        <v>99</v>
      </c>
      <c r="E15" s="9" t="s">
        <v>100</v>
      </c>
      <c r="F15" s="9" t="s">
        <v>101</v>
      </c>
      <c r="G15" s="9" t="s">
        <v>102</v>
      </c>
      <c r="H15" s="9" t="s">
        <v>103</v>
      </c>
      <c r="I15" s="9" t="s">
        <v>104</v>
      </c>
      <c r="J15" s="3"/>
      <c r="K15" s="3"/>
    </row>
    <row r="16" customFormat="false" ht="67.5" hidden="false" customHeight="true" outlineLevel="0" collapsed="false">
      <c r="A16" s="9" t="s">
        <v>105</v>
      </c>
      <c r="B16" s="9" t="s">
        <v>106</v>
      </c>
      <c r="C16" s="9" t="s">
        <v>27</v>
      </c>
      <c r="D16" s="9" t="s">
        <v>107</v>
      </c>
      <c r="E16" s="9" t="s">
        <v>108</v>
      </c>
      <c r="F16" s="9" t="s">
        <v>109</v>
      </c>
      <c r="G16" s="9" t="s">
        <v>110</v>
      </c>
      <c r="H16" s="9" t="s">
        <v>111</v>
      </c>
      <c r="I16" s="9" t="s">
        <v>112</v>
      </c>
      <c r="J16" s="3"/>
      <c r="K16" s="3"/>
    </row>
    <row r="17" customFormat="false" ht="118.5" hidden="false" customHeight="true" outlineLevel="0" collapsed="false">
      <c r="A17" s="9" t="s">
        <v>113</v>
      </c>
      <c r="B17" s="9" t="s">
        <v>106</v>
      </c>
      <c r="C17" s="9" t="s">
        <v>27</v>
      </c>
      <c r="D17" s="9" t="s">
        <v>114</v>
      </c>
      <c r="E17" s="9" t="s">
        <v>115</v>
      </c>
      <c r="F17" s="9" t="s">
        <v>116</v>
      </c>
      <c r="G17" s="9" t="s">
        <v>117</v>
      </c>
      <c r="H17" s="9" t="s">
        <v>118</v>
      </c>
      <c r="I17" s="9" t="s">
        <v>119</v>
      </c>
      <c r="J17" s="3"/>
      <c r="K17" s="3"/>
    </row>
    <row r="18" customFormat="false" ht="105.75" hidden="false" customHeight="true" outlineLevel="0" collapsed="false">
      <c r="A18" s="9" t="s">
        <v>120</v>
      </c>
      <c r="B18" s="9" t="s">
        <v>106</v>
      </c>
      <c r="C18" s="9" t="s">
        <v>27</v>
      </c>
      <c r="D18" s="9" t="s">
        <v>121</v>
      </c>
      <c r="E18" s="9" t="s">
        <v>122</v>
      </c>
      <c r="F18" s="9" t="s">
        <v>123</v>
      </c>
      <c r="G18" s="9" t="s">
        <v>124</v>
      </c>
      <c r="H18" s="9" t="s">
        <v>125</v>
      </c>
      <c r="I18" s="9" t="s">
        <v>126</v>
      </c>
      <c r="J18" s="3"/>
      <c r="K18" s="3"/>
    </row>
    <row r="19" customFormat="false" ht="80.25" hidden="false" customHeight="true" outlineLevel="0" collapsed="false">
      <c r="A19" s="9" t="s">
        <v>127</v>
      </c>
      <c r="B19" s="9" t="s">
        <v>106</v>
      </c>
      <c r="C19" s="9" t="s">
        <v>27</v>
      </c>
      <c r="D19" s="9" t="s">
        <v>128</v>
      </c>
      <c r="E19" s="9" t="s">
        <v>36</v>
      </c>
      <c r="F19" s="9" t="s">
        <v>129</v>
      </c>
      <c r="G19" s="9" t="s">
        <v>38</v>
      </c>
      <c r="H19" s="9" t="s">
        <v>130</v>
      </c>
      <c r="I19" s="9" t="s">
        <v>131</v>
      </c>
      <c r="J19" s="3"/>
      <c r="K19" s="3"/>
    </row>
    <row r="20" customFormat="false" ht="93" hidden="false" customHeight="true" outlineLevel="0" collapsed="false">
      <c r="A20" s="9" t="s">
        <v>132</v>
      </c>
      <c r="B20" s="9" t="s">
        <v>106</v>
      </c>
      <c r="C20" s="9" t="s">
        <v>27</v>
      </c>
      <c r="D20" s="9" t="s">
        <v>133</v>
      </c>
      <c r="E20" s="9" t="s">
        <v>134</v>
      </c>
      <c r="F20" s="9" t="s">
        <v>135</v>
      </c>
      <c r="G20" s="9" t="s">
        <v>136</v>
      </c>
      <c r="H20" s="9" t="s">
        <v>137</v>
      </c>
      <c r="I20" s="9" t="s">
        <v>138</v>
      </c>
      <c r="J20" s="3"/>
      <c r="K20" s="3"/>
    </row>
    <row r="21" customFormat="false" ht="105.75" hidden="false" customHeight="true" outlineLevel="0" collapsed="false">
      <c r="A21" s="9" t="s">
        <v>139</v>
      </c>
      <c r="B21" s="9" t="s">
        <v>140</v>
      </c>
      <c r="C21" s="9" t="s">
        <v>27</v>
      </c>
      <c r="D21" s="9" t="s">
        <v>141</v>
      </c>
      <c r="E21" s="9" t="s">
        <v>142</v>
      </c>
      <c r="F21" s="9" t="s">
        <v>143</v>
      </c>
      <c r="G21" s="9" t="s">
        <v>144</v>
      </c>
      <c r="H21" s="9" t="s">
        <v>145</v>
      </c>
      <c r="I21" s="9" t="s">
        <v>146</v>
      </c>
      <c r="J21" s="3"/>
      <c r="K21" s="3"/>
    </row>
    <row r="22" customFormat="false" ht="80.25" hidden="false" customHeight="true" outlineLevel="0" collapsed="false">
      <c r="A22" s="9" t="s">
        <v>147</v>
      </c>
      <c r="B22" s="9" t="s">
        <v>140</v>
      </c>
      <c r="C22" s="9" t="s">
        <v>27</v>
      </c>
      <c r="D22" s="9" t="s">
        <v>148</v>
      </c>
      <c r="E22" s="9" t="s">
        <v>149</v>
      </c>
      <c r="F22" s="9" t="s">
        <v>150</v>
      </c>
      <c r="G22" s="9" t="s">
        <v>151</v>
      </c>
      <c r="H22" s="9" t="s">
        <v>152</v>
      </c>
      <c r="I22" s="9" t="s">
        <v>153</v>
      </c>
      <c r="J22" s="3"/>
      <c r="K22" s="3"/>
    </row>
    <row r="23" customFormat="false" ht="1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3"/>
      <c r="K23" s="3"/>
    </row>
    <row r="24" customFormat="false" ht="1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3"/>
      <c r="K24" s="3"/>
    </row>
    <row r="25" customFormat="false" ht="1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3"/>
      <c r="K25" s="3"/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3"/>
      <c r="K26" s="3"/>
    </row>
    <row r="27" customFormat="false" ht="1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3"/>
      <c r="K27" s="3"/>
    </row>
    <row r="28" customFormat="false" ht="1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3"/>
      <c r="K28" s="3"/>
    </row>
    <row r="29" customFormat="false" ht="1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3"/>
      <c r="K29" s="3"/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3"/>
      <c r="K30" s="3"/>
    </row>
    <row r="31" customFormat="false" ht="1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3"/>
      <c r="K31" s="3"/>
    </row>
    <row r="32" customFormat="false" ht="1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3"/>
      <c r="K32" s="3"/>
    </row>
    <row r="33" customFormat="false" ht="1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3"/>
      <c r="K33" s="3"/>
    </row>
    <row r="34" customFormat="false" ht="1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3"/>
      <c r="K34" s="3"/>
    </row>
    <row r="35" customFormat="false" ht="1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3"/>
      <c r="K35" s="3"/>
    </row>
    <row r="36" customFormat="false" ht="1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3"/>
      <c r="K36" s="3"/>
    </row>
    <row r="37" customFormat="false" ht="1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3"/>
      <c r="K37" s="3"/>
    </row>
    <row r="38" customFormat="false" ht="1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3"/>
      <c r="K38" s="3"/>
    </row>
    <row r="39" customFormat="false" ht="1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3"/>
      <c r="K39" s="3"/>
    </row>
    <row r="40" customFormat="false" ht="1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3"/>
      <c r="K40" s="3"/>
    </row>
    <row r="41" customFormat="false" ht="1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3"/>
      <c r="K41" s="3"/>
    </row>
    <row r="42" customFormat="false" ht="1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3"/>
      <c r="K42" s="3"/>
    </row>
    <row r="43" customFormat="false" ht="1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3"/>
      <c r="K43" s="3"/>
    </row>
    <row r="44" customFormat="false" ht="1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3"/>
      <c r="K44" s="3"/>
    </row>
    <row r="45" customFormat="false" ht="1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3"/>
      <c r="K45" s="3"/>
    </row>
    <row r="46" customFormat="false" ht="1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3"/>
      <c r="K46" s="3"/>
    </row>
    <row r="47" customFormat="false" ht="1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3"/>
      <c r="K47" s="3"/>
    </row>
    <row r="48" customFormat="false" ht="1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3"/>
      <c r="K48" s="3"/>
    </row>
    <row r="49" customFormat="false" ht="1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3"/>
      <c r="K49" s="3"/>
    </row>
    <row r="50" customFormat="false" ht="1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3"/>
      <c r="K50" s="3"/>
    </row>
    <row r="51" customFormat="false" ht="1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3"/>
      <c r="K51" s="3"/>
    </row>
    <row r="52" customFormat="false" ht="1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3"/>
      <c r="K52" s="3"/>
    </row>
    <row r="53" customFormat="false" ht="1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3"/>
      <c r="K53" s="3"/>
    </row>
    <row r="54" customFormat="false" ht="1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3"/>
      <c r="K54" s="3"/>
    </row>
    <row r="55" customFormat="false" ht="1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3"/>
      <c r="K55" s="3"/>
    </row>
    <row r="56" customFormat="false" ht="1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3"/>
      <c r="K56" s="3"/>
    </row>
    <row r="57" customFormat="false" ht="1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3"/>
      <c r="K57" s="3"/>
    </row>
    <row r="58" customFormat="false" ht="1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3"/>
      <c r="K58" s="3"/>
    </row>
    <row r="59" customFormat="false" ht="1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3"/>
      <c r="K59" s="3"/>
    </row>
    <row r="60" customFormat="false" ht="1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3"/>
      <c r="K60" s="3"/>
    </row>
    <row r="61" customFormat="false" ht="1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3"/>
      <c r="K61" s="3"/>
    </row>
    <row r="62" customFormat="false" ht="1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3"/>
      <c r="K62" s="3"/>
    </row>
    <row r="63" customFormat="false" ht="1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3"/>
      <c r="K63" s="3"/>
    </row>
    <row r="64" customFormat="false" ht="1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3"/>
      <c r="K64" s="3"/>
    </row>
    <row r="65" customFormat="false" ht="1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3"/>
      <c r="K65" s="3"/>
    </row>
    <row r="66" customFormat="false" ht="1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3"/>
      <c r="K66" s="3"/>
    </row>
    <row r="67" customFormat="false" ht="1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3"/>
      <c r="K67" s="3"/>
    </row>
    <row r="68" customFormat="false" ht="1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3"/>
      <c r="K68" s="3"/>
    </row>
    <row r="69" customFormat="false" ht="1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3"/>
      <c r="K69" s="3"/>
    </row>
    <row r="70" customFormat="false" ht="1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3"/>
      <c r="K70" s="3"/>
    </row>
    <row r="71" customFormat="false" ht="1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3"/>
      <c r="K71" s="3"/>
    </row>
    <row r="72" customFormat="false" ht="1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3"/>
      <c r="K72" s="3"/>
    </row>
    <row r="73" customFormat="false" ht="1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3"/>
      <c r="K73" s="3"/>
    </row>
    <row r="74" customFormat="false" ht="1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3"/>
      <c r="K74" s="3"/>
    </row>
    <row r="75" customFormat="false" ht="1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3"/>
      <c r="K75" s="3"/>
    </row>
    <row r="76" customFormat="false" ht="1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3"/>
      <c r="K76" s="3"/>
    </row>
    <row r="77" customFormat="false" ht="1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3"/>
      <c r="K77" s="3"/>
    </row>
    <row r="78" customFormat="false" ht="1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3"/>
      <c r="K78" s="3"/>
    </row>
    <row r="79" customFormat="false" ht="1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3"/>
      <c r="K79" s="3"/>
    </row>
    <row r="80" customFormat="false" ht="1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3"/>
      <c r="K80" s="3"/>
    </row>
    <row r="81" customFormat="false" ht="1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3"/>
      <c r="K81" s="3"/>
    </row>
    <row r="82" customFormat="false" ht="1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3"/>
      <c r="K82" s="3"/>
    </row>
    <row r="83" customFormat="false" ht="1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3"/>
      <c r="K83" s="3"/>
    </row>
    <row r="84" customFormat="false" ht="1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3"/>
      <c r="K84" s="3"/>
    </row>
    <row r="85" customFormat="false" ht="1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3"/>
      <c r="K85" s="3"/>
    </row>
    <row r="86" customFormat="false" ht="1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3"/>
      <c r="K86" s="3"/>
    </row>
    <row r="87" customFormat="false" ht="1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3"/>
      <c r="K87" s="3"/>
    </row>
    <row r="88" customFormat="false" ht="1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3"/>
      <c r="K88" s="3"/>
    </row>
    <row r="89" customFormat="false" ht="1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3"/>
      <c r="K89" s="3"/>
    </row>
    <row r="90" customFormat="false" ht="1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3"/>
      <c r="K90" s="3"/>
    </row>
    <row r="91" customFormat="false" ht="1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3"/>
      <c r="K91" s="3"/>
    </row>
    <row r="92" customFormat="false" ht="1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3"/>
      <c r="K92" s="3"/>
    </row>
    <row r="93" customFormat="false" ht="1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3"/>
      <c r="K93" s="3"/>
    </row>
    <row r="94" customFormat="false" ht="1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3"/>
      <c r="K94" s="3"/>
    </row>
    <row r="95" customFormat="false" ht="1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3"/>
      <c r="K95" s="3"/>
    </row>
    <row r="96" customFormat="false" ht="1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3"/>
      <c r="K96" s="3"/>
    </row>
    <row r="97" customFormat="false" ht="1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3"/>
      <c r="K97" s="3"/>
    </row>
    <row r="98" customFormat="false" ht="1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3"/>
      <c r="K98" s="3"/>
    </row>
    <row r="99" customFormat="false" ht="1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3"/>
      <c r="K99" s="3"/>
    </row>
    <row r="100" customFormat="false" ht="1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3"/>
      <c r="K100" s="3"/>
    </row>
    <row r="101" customFormat="false" ht="1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3"/>
      <c r="K101" s="3"/>
    </row>
    <row r="102" customFormat="false" ht="1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3"/>
      <c r="K102" s="3"/>
    </row>
    <row r="103" customFormat="false" ht="1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3"/>
      <c r="K103" s="3"/>
    </row>
    <row r="104" customFormat="false" ht="1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3"/>
      <c r="K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0"/>
    <col collapsed="false" customWidth="true" hidden="false" outlineLevel="0" max="4" min="3" style="1" width="18"/>
    <col collapsed="false" customWidth="true" hidden="false" outlineLevel="0" max="5" min="5" style="1" width="22"/>
    <col collapsed="false" customWidth="true" hidden="false" outlineLevel="0" max="6" min="6" style="1" width="16"/>
    <col collapsed="false" customWidth="true" hidden="false" outlineLevel="0" max="7" min="7" style="1" width="28"/>
    <col collapsed="false" customWidth="true" hidden="false" outlineLevel="0" max="8" min="8" style="1" width="18"/>
    <col collapsed="false" customWidth="true" hidden="false" outlineLevel="0" max="10" min="9" style="1" width="30"/>
  </cols>
  <sheetData>
    <row r="1" customFormat="false" ht="20.25" hidden="false" customHeight="true" outlineLevel="0" collapsed="false">
      <c r="A1" s="2" t="s">
        <v>154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4" t="s">
        <v>155</v>
      </c>
      <c r="B3" s="4" t="s">
        <v>156</v>
      </c>
      <c r="C3" s="4" t="s">
        <v>157</v>
      </c>
      <c r="D3" s="4" t="s">
        <v>158</v>
      </c>
      <c r="E3" s="4" t="s">
        <v>159</v>
      </c>
      <c r="F3" s="4" t="s">
        <v>160</v>
      </c>
      <c r="G3" s="4" t="s">
        <v>161</v>
      </c>
      <c r="H3" s="4" t="s">
        <v>162</v>
      </c>
      <c r="I3" s="4" t="s">
        <v>163</v>
      </c>
      <c r="J3" s="4" t="s">
        <v>164</v>
      </c>
      <c r="K3" s="3"/>
    </row>
    <row r="4" customFormat="false" ht="15" hidden="tru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3"/>
    </row>
    <row r="5" customFormat="false" ht="57.75" hidden="false" customHeight="true" outlineLevel="0" collapsed="false">
      <c r="A5" s="9" t="s">
        <v>165</v>
      </c>
      <c r="B5" s="9" t="s">
        <v>166</v>
      </c>
      <c r="C5" s="9" t="s">
        <v>167</v>
      </c>
      <c r="D5" s="9" t="s">
        <v>168</v>
      </c>
      <c r="E5" s="9" t="s">
        <v>169</v>
      </c>
      <c r="F5" s="9" t="s">
        <v>170</v>
      </c>
      <c r="G5" s="9" t="s">
        <v>171</v>
      </c>
      <c r="H5" s="9" t="s">
        <v>172</v>
      </c>
      <c r="I5" s="9" t="s">
        <v>173</v>
      </c>
      <c r="J5" s="9" t="s">
        <v>174</v>
      </c>
      <c r="K5" s="3"/>
    </row>
    <row r="6" customFormat="false" ht="67.5" hidden="false" customHeight="true" outlineLevel="0" collapsed="false">
      <c r="A6" s="9" t="s">
        <v>175</v>
      </c>
      <c r="B6" s="9" t="s">
        <v>176</v>
      </c>
      <c r="C6" s="9" t="s">
        <v>177</v>
      </c>
      <c r="D6" s="9" t="s">
        <v>178</v>
      </c>
      <c r="E6" s="9" t="s">
        <v>179</v>
      </c>
      <c r="F6" s="9" t="s">
        <v>170</v>
      </c>
      <c r="G6" s="9" t="s">
        <v>180</v>
      </c>
      <c r="H6" s="9" t="s">
        <v>172</v>
      </c>
      <c r="I6" s="9" t="s">
        <v>181</v>
      </c>
      <c r="J6" s="9" t="s">
        <v>182</v>
      </c>
      <c r="K6" s="3"/>
    </row>
    <row r="7" customFormat="false" ht="80.25" hidden="false" customHeight="true" outlineLevel="0" collapsed="false">
      <c r="A7" s="9" t="s">
        <v>183</v>
      </c>
      <c r="B7" s="9" t="s">
        <v>184</v>
      </c>
      <c r="C7" s="9" t="s">
        <v>185</v>
      </c>
      <c r="D7" s="9" t="s">
        <v>178</v>
      </c>
      <c r="E7" s="9" t="s">
        <v>186</v>
      </c>
      <c r="F7" s="9" t="s">
        <v>170</v>
      </c>
      <c r="G7" s="9" t="s">
        <v>187</v>
      </c>
      <c r="H7" s="9" t="s">
        <v>172</v>
      </c>
      <c r="I7" s="9" t="s">
        <v>188</v>
      </c>
      <c r="J7" s="9" t="s">
        <v>189</v>
      </c>
      <c r="K7" s="3"/>
    </row>
    <row r="8" customFormat="false" ht="1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3"/>
    </row>
    <row r="9" customFormat="false" ht="1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3"/>
    </row>
    <row r="10" customFormat="false" ht="1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3"/>
    </row>
    <row r="11" customFormat="false" ht="1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3"/>
    </row>
    <row r="12" customFormat="false" ht="1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3"/>
    </row>
    <row r="13" customFormat="false" ht="1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3"/>
    </row>
    <row r="14" customFormat="false" ht="1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3"/>
    </row>
    <row r="15" customFormat="false" ht="1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3"/>
    </row>
    <row r="16" customFormat="false" ht="1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3"/>
    </row>
    <row r="17" customFormat="false" ht="1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3"/>
    </row>
    <row r="18" customFormat="false" ht="1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3"/>
    </row>
    <row r="19" customFormat="false" ht="1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  <c r="J19" s="6"/>
      <c r="K19" s="3"/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3"/>
    </row>
    <row r="21" customFormat="false" ht="1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3"/>
    </row>
    <row r="22" customFormat="false" ht="1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3"/>
    </row>
    <row r="23" customFormat="false" ht="1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3"/>
    </row>
    <row r="24" customFormat="false" ht="1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3"/>
    </row>
    <row r="25" customFormat="false" ht="1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3"/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3"/>
    </row>
    <row r="27" customFormat="false" ht="1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3"/>
    </row>
    <row r="28" customFormat="false" ht="1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3"/>
    </row>
    <row r="29" customFormat="false" ht="1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3"/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3"/>
    </row>
    <row r="31" customFormat="false" ht="1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3"/>
    </row>
    <row r="32" customFormat="false" ht="1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3"/>
    </row>
    <row r="33" customFormat="false" ht="1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3"/>
    </row>
    <row r="34" customFormat="false" ht="1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3"/>
    </row>
    <row r="35" customFormat="false" ht="1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3"/>
    </row>
    <row r="36" customFormat="false" ht="1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3"/>
    </row>
    <row r="37" customFormat="false" ht="1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3"/>
    </row>
    <row r="38" customFormat="false" ht="1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3"/>
    </row>
    <row r="39" customFormat="false" ht="1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3"/>
    </row>
    <row r="40" customFormat="false" ht="1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3"/>
    </row>
    <row r="41" customFormat="false" ht="1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3"/>
    </row>
    <row r="42" customFormat="false" ht="1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3"/>
    </row>
    <row r="43" customFormat="false" ht="1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3"/>
    </row>
    <row r="44" customFormat="false" ht="1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3"/>
    </row>
    <row r="45" customFormat="false" ht="1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3"/>
    </row>
    <row r="46" customFormat="false" ht="1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3"/>
    </row>
    <row r="47" customFormat="false" ht="1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3"/>
    </row>
    <row r="48" customFormat="false" ht="1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3"/>
    </row>
    <row r="49" customFormat="false" ht="1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3"/>
    </row>
    <row r="50" customFormat="false" ht="1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3"/>
    </row>
    <row r="51" customFormat="false" ht="1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3"/>
    </row>
    <row r="52" customFormat="false" ht="1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3"/>
    </row>
    <row r="53" customFormat="false" ht="1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3"/>
    </row>
    <row r="54" customFormat="false" ht="1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3"/>
    </row>
    <row r="55" customFormat="false" ht="1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3"/>
    </row>
    <row r="56" customFormat="false" ht="1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3"/>
    </row>
    <row r="57" customFormat="false" ht="1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3"/>
    </row>
    <row r="58" customFormat="false" ht="1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3"/>
    </row>
    <row r="59" customFormat="false" ht="1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3"/>
    </row>
    <row r="60" customFormat="false" ht="1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3"/>
    </row>
    <row r="61" customFormat="false" ht="1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3"/>
    </row>
    <row r="62" customFormat="false" ht="1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3"/>
    </row>
    <row r="63" customFormat="false" ht="1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3"/>
    </row>
    <row r="64" customFormat="false" ht="1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3"/>
    </row>
    <row r="65" customFormat="false" ht="1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3"/>
    </row>
    <row r="66" customFormat="false" ht="1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3"/>
    </row>
    <row r="67" customFormat="false" ht="1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3"/>
    </row>
    <row r="68" customFormat="false" ht="1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3"/>
    </row>
    <row r="69" customFormat="false" ht="1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3"/>
    </row>
    <row r="70" customFormat="false" ht="1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3"/>
    </row>
    <row r="71" customFormat="false" ht="1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3"/>
    </row>
    <row r="72" customFormat="false" ht="1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3"/>
    </row>
    <row r="73" customFormat="false" ht="1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3"/>
    </row>
    <row r="74" customFormat="false" ht="1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3"/>
    </row>
    <row r="75" customFormat="false" ht="1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3"/>
    </row>
    <row r="76" customFormat="false" ht="1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3"/>
    </row>
    <row r="77" customFormat="false" ht="1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3"/>
    </row>
    <row r="78" customFormat="false" ht="1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3"/>
    </row>
    <row r="79" customFormat="false" ht="1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3"/>
    </row>
    <row r="80" customFormat="false" ht="1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3"/>
    </row>
    <row r="81" customFormat="false" ht="1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3"/>
    </row>
    <row r="82" customFormat="false" ht="1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3"/>
    </row>
    <row r="83" customFormat="false" ht="1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3"/>
    </row>
    <row r="84" customFormat="false" ht="1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3"/>
    </row>
    <row r="85" customFormat="false" ht="1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3"/>
    </row>
    <row r="86" customFormat="false" ht="1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3"/>
    </row>
    <row r="87" customFormat="false" ht="1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3"/>
    </row>
    <row r="88" customFormat="false" ht="1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3"/>
    </row>
    <row r="89" customFormat="false" ht="1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3"/>
    </row>
    <row r="90" customFormat="false" ht="1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3"/>
    </row>
    <row r="91" customFormat="false" ht="1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3"/>
    </row>
    <row r="92" customFormat="false" ht="1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3"/>
    </row>
    <row r="93" customFormat="false" ht="1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3"/>
    </row>
    <row r="94" customFormat="false" ht="1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3"/>
    </row>
    <row r="95" customFormat="false" ht="1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3"/>
    </row>
    <row r="96" customFormat="false" ht="1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3"/>
    </row>
    <row r="97" customFormat="false" ht="1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3"/>
    </row>
    <row r="98" customFormat="false" ht="1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3"/>
    </row>
    <row r="99" customFormat="false" ht="1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3"/>
    </row>
    <row r="100" customFormat="false" ht="1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3"/>
    </row>
    <row r="101" customFormat="false" ht="1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3"/>
    </row>
    <row r="102" customFormat="false" ht="1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3"/>
    </row>
    <row r="103" customFormat="false" ht="1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3"/>
    </row>
    <row r="104" customFormat="false" ht="1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</sheetData>
  <mergeCells count="1">
    <mergeCell ref="A1:J1"/>
  </mergeCells>
  <conditionalFormatting sqref="F5:F104">
    <cfRule type="expression" priority="2" aboveAverage="0" equalAverage="0" bottom="0" percent="0" rank="0" text="" dxfId="0">
      <formula>F5="Fusionada"</formula>
    </cfRule>
    <cfRule type="expression" priority="3" aboveAverage="0" equalAverage="0" bottom="0" percent="0" rank="0" text="" dxfId="1">
      <formula>F5="En revisión"</formula>
    </cfRule>
  </conditionalFormatting>
  <dataValidations count="2">
    <dataValidation allowBlank="false" errorStyle="stop" operator="between" showDropDown="false" showErrorMessage="false" showInputMessage="false" sqref="F5:F104" type="list">
      <formula1>"Abierta,En revisión,Fusionada,Descartada"</formula1>
      <formula2>0</formula2>
    </dataValidation>
    <dataValidation allowBlank="false" errorStyle="stop" operator="between" showDropDown="false" showErrorMessage="false" showInputMessage="false" sqref="H5:H104" type="list">
      <formula1>"No,Sí - resuelto,Sí - pendiente"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6"/>
    <col collapsed="false" customWidth="true" hidden="false" outlineLevel="0" max="8" min="8" style="1" width="28"/>
    <col collapsed="false" customWidth="true" hidden="false" outlineLevel="0" max="9" min="9" style="1" width="26"/>
    <col collapsed="false" customWidth="true" hidden="false" outlineLevel="0" max="10" min="10" style="1" width="14"/>
    <col collapsed="false" customWidth="true" hidden="false" outlineLevel="0" max="11" min="11" style="1" width="28"/>
  </cols>
  <sheetData>
    <row r="1" customFormat="false" ht="20.25" hidden="false" customHeight="true" outlineLevel="0" collapsed="false">
      <c r="A1" s="2" t="s">
        <v>190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4" t="s">
        <v>191</v>
      </c>
      <c r="B3" s="4" t="s">
        <v>192</v>
      </c>
      <c r="C3" s="4" t="s">
        <v>193</v>
      </c>
      <c r="D3" s="4" t="s">
        <v>194</v>
      </c>
      <c r="E3" s="4" t="s">
        <v>195</v>
      </c>
      <c r="F3" s="4" t="s">
        <v>196</v>
      </c>
      <c r="G3" s="4" t="s">
        <v>197</v>
      </c>
      <c r="H3" s="4" t="s">
        <v>198</v>
      </c>
      <c r="I3" s="4" t="s">
        <v>199</v>
      </c>
      <c r="J3" s="4" t="s">
        <v>160</v>
      </c>
      <c r="K3" s="4" t="s">
        <v>200</v>
      </c>
    </row>
    <row r="4" customFormat="false" ht="15" hidden="true" customHeight="true" outlineLevel="0" collapsed="false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customFormat="false" ht="44.25" hidden="false" customHeight="true" outlineLevel="0" collapsed="false">
      <c r="A5" s="9" t="s">
        <v>201</v>
      </c>
      <c r="B5" s="9" t="s">
        <v>202</v>
      </c>
      <c r="C5" s="9" t="s">
        <v>203</v>
      </c>
      <c r="D5" s="9" t="s">
        <v>44</v>
      </c>
      <c r="E5" s="9" t="s">
        <v>165</v>
      </c>
      <c r="F5" s="9" t="s">
        <v>204</v>
      </c>
      <c r="G5" s="9" t="s">
        <v>205</v>
      </c>
      <c r="H5" s="9" t="s">
        <v>206</v>
      </c>
      <c r="I5" s="9" t="s">
        <v>207</v>
      </c>
      <c r="J5" s="9" t="s">
        <v>208</v>
      </c>
      <c r="K5" s="9" t="s">
        <v>209</v>
      </c>
    </row>
    <row r="6" customFormat="false" ht="44.25" hidden="false" customHeight="true" outlineLevel="0" collapsed="false">
      <c r="A6" s="9" t="s">
        <v>210</v>
      </c>
      <c r="B6" s="9" t="s">
        <v>211</v>
      </c>
      <c r="C6" s="9" t="s">
        <v>212</v>
      </c>
      <c r="D6" s="9" t="s">
        <v>51</v>
      </c>
      <c r="E6" s="9" t="s">
        <v>165</v>
      </c>
      <c r="F6" s="9" t="s">
        <v>213</v>
      </c>
      <c r="G6" s="9" t="s">
        <v>214</v>
      </c>
      <c r="H6" s="9" t="s">
        <v>215</v>
      </c>
      <c r="I6" s="9" t="s">
        <v>216</v>
      </c>
      <c r="J6" s="9" t="s">
        <v>208</v>
      </c>
      <c r="K6" s="9" t="s">
        <v>217</v>
      </c>
    </row>
    <row r="7" customFormat="false" ht="44.25" hidden="false" customHeight="true" outlineLevel="0" collapsed="false">
      <c r="A7" s="9" t="s">
        <v>218</v>
      </c>
      <c r="B7" s="9" t="s">
        <v>219</v>
      </c>
      <c r="C7" s="9" t="s">
        <v>203</v>
      </c>
      <c r="D7" s="9" t="s">
        <v>58</v>
      </c>
      <c r="E7" s="9" t="s">
        <v>165</v>
      </c>
      <c r="F7" s="9" t="s">
        <v>220</v>
      </c>
      <c r="G7" s="9" t="s">
        <v>221</v>
      </c>
      <c r="H7" s="9" t="s">
        <v>222</v>
      </c>
      <c r="I7" s="9" t="s">
        <v>223</v>
      </c>
      <c r="J7" s="9" t="s">
        <v>208</v>
      </c>
      <c r="K7" s="9" t="s">
        <v>224</v>
      </c>
    </row>
    <row r="8" customFormat="false" ht="44.25" hidden="false" customHeight="true" outlineLevel="0" collapsed="false">
      <c r="A8" s="9" t="s">
        <v>225</v>
      </c>
      <c r="B8" s="9" t="s">
        <v>226</v>
      </c>
      <c r="C8" s="9" t="s">
        <v>227</v>
      </c>
      <c r="D8" s="9" t="s">
        <v>80</v>
      </c>
      <c r="E8" s="9" t="s">
        <v>165</v>
      </c>
      <c r="F8" s="9" t="s">
        <v>228</v>
      </c>
      <c r="G8" s="9" t="s">
        <v>229</v>
      </c>
      <c r="H8" s="9" t="s">
        <v>230</v>
      </c>
      <c r="I8" s="9" t="s">
        <v>231</v>
      </c>
      <c r="J8" s="9" t="s">
        <v>208</v>
      </c>
      <c r="K8" s="9" t="s">
        <v>232</v>
      </c>
    </row>
    <row r="9" customFormat="false" ht="44.25" hidden="false" customHeight="true" outlineLevel="0" collapsed="false">
      <c r="A9" s="9" t="s">
        <v>233</v>
      </c>
      <c r="B9" s="9" t="s">
        <v>234</v>
      </c>
      <c r="C9" s="9" t="s">
        <v>197</v>
      </c>
      <c r="D9" s="9" t="s">
        <v>65</v>
      </c>
      <c r="E9" s="9" t="s">
        <v>165</v>
      </c>
      <c r="F9" s="9" t="s">
        <v>235</v>
      </c>
      <c r="G9" s="9" t="s">
        <v>236</v>
      </c>
      <c r="H9" s="9" t="s">
        <v>237</v>
      </c>
      <c r="I9" s="9" t="s">
        <v>238</v>
      </c>
      <c r="J9" s="9" t="s">
        <v>208</v>
      </c>
      <c r="K9" s="9" t="s">
        <v>239</v>
      </c>
    </row>
    <row r="10" customFormat="false" ht="67.5" hidden="false" customHeight="true" outlineLevel="0" collapsed="false">
      <c r="A10" s="9" t="s">
        <v>218</v>
      </c>
      <c r="B10" s="9" t="s">
        <v>240</v>
      </c>
      <c r="C10" s="9" t="s">
        <v>241</v>
      </c>
      <c r="D10" s="9" t="s">
        <v>242</v>
      </c>
      <c r="E10" s="9" t="s">
        <v>175</v>
      </c>
      <c r="F10" s="9" t="s">
        <v>243</v>
      </c>
      <c r="G10" s="9" t="s">
        <v>244</v>
      </c>
      <c r="H10" s="9" t="s">
        <v>245</v>
      </c>
      <c r="I10" s="9" t="s">
        <v>246</v>
      </c>
      <c r="J10" s="9" t="s">
        <v>208</v>
      </c>
      <c r="K10" s="9" t="s">
        <v>247</v>
      </c>
    </row>
    <row r="11" customFormat="false" ht="54.75" hidden="false" customHeight="true" outlineLevel="0" collapsed="false">
      <c r="A11" s="9" t="s">
        <v>248</v>
      </c>
      <c r="B11" s="9" t="s">
        <v>249</v>
      </c>
      <c r="C11" s="9" t="s">
        <v>250</v>
      </c>
      <c r="D11" s="9" t="s">
        <v>251</v>
      </c>
      <c r="E11" s="9" t="s">
        <v>175</v>
      </c>
      <c r="F11" s="9" t="s">
        <v>243</v>
      </c>
      <c r="G11" s="9" t="s">
        <v>252</v>
      </c>
      <c r="H11" s="9" t="s">
        <v>253</v>
      </c>
      <c r="I11" s="9" t="s">
        <v>254</v>
      </c>
      <c r="J11" s="9" t="s">
        <v>208</v>
      </c>
      <c r="K11" s="9" t="s">
        <v>255</v>
      </c>
    </row>
    <row r="12" customFormat="false" ht="54.75" hidden="false" customHeight="true" outlineLevel="0" collapsed="false">
      <c r="A12" s="9" t="s">
        <v>256</v>
      </c>
      <c r="B12" s="9" t="s">
        <v>257</v>
      </c>
      <c r="C12" s="9" t="s">
        <v>258</v>
      </c>
      <c r="D12" s="9" t="s">
        <v>259</v>
      </c>
      <c r="E12" s="9" t="s">
        <v>175</v>
      </c>
      <c r="F12" s="9" t="s">
        <v>260</v>
      </c>
      <c r="G12" s="9" t="s">
        <v>261</v>
      </c>
      <c r="H12" s="9" t="s">
        <v>262</v>
      </c>
      <c r="I12" s="9" t="s">
        <v>263</v>
      </c>
      <c r="J12" s="9" t="s">
        <v>208</v>
      </c>
      <c r="K12" s="9" t="s">
        <v>264</v>
      </c>
    </row>
    <row r="13" customFormat="false" ht="54.75" hidden="false" customHeight="true" outlineLevel="0" collapsed="false">
      <c r="A13" s="9" t="s">
        <v>265</v>
      </c>
      <c r="B13" s="9" t="s">
        <v>266</v>
      </c>
      <c r="C13" s="9" t="s">
        <v>267</v>
      </c>
      <c r="D13" s="9" t="s">
        <v>268</v>
      </c>
      <c r="E13" s="9" t="s">
        <v>175</v>
      </c>
      <c r="F13" s="9" t="s">
        <v>260</v>
      </c>
      <c r="G13" s="9" t="s">
        <v>269</v>
      </c>
      <c r="H13" s="9" t="s">
        <v>270</v>
      </c>
      <c r="I13" s="9" t="s">
        <v>271</v>
      </c>
      <c r="J13" s="9" t="s">
        <v>208</v>
      </c>
      <c r="K13" s="9" t="s">
        <v>272</v>
      </c>
    </row>
    <row r="14" customFormat="false" ht="29.25" hidden="false" customHeight="true" outlineLevel="0" collapsed="false">
      <c r="A14" s="9" t="s">
        <v>273</v>
      </c>
      <c r="B14" s="9" t="s">
        <v>274</v>
      </c>
      <c r="C14" s="9" t="s">
        <v>275</v>
      </c>
      <c r="D14" s="9" t="s">
        <v>108</v>
      </c>
      <c r="E14" s="9" t="s">
        <v>175</v>
      </c>
      <c r="F14" s="9" t="s">
        <v>276</v>
      </c>
      <c r="G14" s="9" t="s">
        <v>277</v>
      </c>
      <c r="H14" s="9" t="s">
        <v>278</v>
      </c>
      <c r="I14" s="9" t="s">
        <v>231</v>
      </c>
      <c r="J14" s="9" t="s">
        <v>208</v>
      </c>
      <c r="K14" s="9" t="s">
        <v>279</v>
      </c>
    </row>
    <row r="15" customFormat="false" ht="54.75" hidden="false" customHeight="true" outlineLevel="0" collapsed="false">
      <c r="A15" s="9" t="s">
        <v>280</v>
      </c>
      <c r="B15" s="9" t="s">
        <v>281</v>
      </c>
      <c r="C15" s="9" t="s">
        <v>282</v>
      </c>
      <c r="D15" s="9" t="s">
        <v>283</v>
      </c>
      <c r="E15" s="9" t="s">
        <v>183</v>
      </c>
      <c r="F15" s="9" t="s">
        <v>284</v>
      </c>
      <c r="G15" s="9" t="s">
        <v>285</v>
      </c>
      <c r="H15" s="9" t="s">
        <v>286</v>
      </c>
      <c r="I15" s="9" t="s">
        <v>231</v>
      </c>
      <c r="J15" s="9" t="s">
        <v>208</v>
      </c>
      <c r="K15" s="9" t="s">
        <v>287</v>
      </c>
    </row>
    <row r="16" customFormat="false" ht="42" hidden="false" customHeight="true" outlineLevel="0" collapsed="false">
      <c r="A16" s="9" t="s">
        <v>288</v>
      </c>
      <c r="B16" s="9" t="s">
        <v>289</v>
      </c>
      <c r="C16" s="9" t="s">
        <v>290</v>
      </c>
      <c r="D16" s="9" t="s">
        <v>291</v>
      </c>
      <c r="E16" s="9" t="s">
        <v>183</v>
      </c>
      <c r="F16" s="9" t="s">
        <v>284</v>
      </c>
      <c r="G16" s="9" t="s">
        <v>292</v>
      </c>
      <c r="H16" s="9" t="s">
        <v>293</v>
      </c>
      <c r="I16" s="9" t="s">
        <v>294</v>
      </c>
      <c r="J16" s="9" t="s">
        <v>208</v>
      </c>
      <c r="K16" s="9" t="s">
        <v>295</v>
      </c>
    </row>
    <row r="17" customFormat="false" ht="42" hidden="false" customHeight="true" outlineLevel="0" collapsed="false">
      <c r="A17" s="9" t="s">
        <v>296</v>
      </c>
      <c r="B17" s="9" t="s">
        <v>297</v>
      </c>
      <c r="C17" s="9" t="s">
        <v>203</v>
      </c>
      <c r="D17" s="9" t="s">
        <v>298</v>
      </c>
      <c r="E17" s="9" t="s">
        <v>183</v>
      </c>
      <c r="F17" s="9" t="s">
        <v>284</v>
      </c>
      <c r="G17" s="9" t="s">
        <v>299</v>
      </c>
      <c r="H17" s="9" t="s">
        <v>300</v>
      </c>
      <c r="I17" s="9" t="s">
        <v>301</v>
      </c>
      <c r="J17" s="9" t="s">
        <v>208</v>
      </c>
      <c r="K17" s="9" t="s">
        <v>302</v>
      </c>
    </row>
    <row r="18" customFormat="false" ht="54.75" hidden="false" customHeight="true" outlineLevel="0" collapsed="false">
      <c r="A18" s="9" t="s">
        <v>303</v>
      </c>
      <c r="B18" s="9" t="s">
        <v>304</v>
      </c>
      <c r="C18" s="9" t="s">
        <v>305</v>
      </c>
      <c r="D18" s="9" t="s">
        <v>306</v>
      </c>
      <c r="E18" s="9" t="s">
        <v>183</v>
      </c>
      <c r="F18" s="9" t="s">
        <v>284</v>
      </c>
      <c r="G18" s="9" t="s">
        <v>307</v>
      </c>
      <c r="H18" s="9" t="s">
        <v>308</v>
      </c>
      <c r="I18" s="9" t="s">
        <v>231</v>
      </c>
      <c r="J18" s="9" t="s">
        <v>208</v>
      </c>
      <c r="K18" s="9" t="s">
        <v>302</v>
      </c>
    </row>
    <row r="19" customFormat="false" ht="42" hidden="false" customHeight="true" outlineLevel="0" collapsed="false">
      <c r="A19" s="9" t="s">
        <v>309</v>
      </c>
      <c r="B19" s="9" t="s">
        <v>310</v>
      </c>
      <c r="C19" s="9" t="s">
        <v>275</v>
      </c>
      <c r="D19" s="9" t="s">
        <v>311</v>
      </c>
      <c r="E19" s="9" t="s">
        <v>183</v>
      </c>
      <c r="F19" s="9" t="s">
        <v>284</v>
      </c>
      <c r="G19" s="9" t="s">
        <v>312</v>
      </c>
      <c r="H19" s="9" t="s">
        <v>313</v>
      </c>
      <c r="I19" s="9" t="s">
        <v>231</v>
      </c>
      <c r="J19" s="9" t="s">
        <v>208</v>
      </c>
      <c r="K19" s="9" t="s">
        <v>314</v>
      </c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customFormat="false" ht="1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customFormat="false" ht="1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customFormat="false" ht="1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</row>
    <row r="24" customFormat="false" ht="1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customFormat="false" ht="1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customFormat="false" ht="1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customFormat="false" ht="1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customFormat="false" ht="1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customFormat="false" ht="1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customFormat="false" ht="1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customFormat="false" ht="1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customFormat="false" ht="1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customFormat="false" ht="1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customFormat="false" ht="1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customFormat="false" ht="1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customFormat="false" ht="1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1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customFormat="false" ht="1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customFormat="false" ht="1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customFormat="false" ht="1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customFormat="false" ht="1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customFormat="false" ht="1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customFormat="false" ht="1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customFormat="false" ht="1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customFormat="false" ht="1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customFormat="false" ht="1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1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customFormat="false" ht="1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customFormat="false" ht="1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customFormat="false" ht="1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customFormat="false" ht="1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  <row r="54" customFormat="false" ht="1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customFormat="false" ht="1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</row>
    <row r="56" customFormat="false" ht="1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</row>
    <row r="57" customFormat="false" ht="1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customFormat="false" ht="1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customFormat="false" ht="1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customFormat="false" ht="1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customFormat="false" ht="1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customFormat="false" ht="1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customFormat="false" ht="1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customFormat="false" ht="1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customFormat="false" ht="1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customFormat="false" ht="1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customFormat="false" ht="1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customFormat="false" ht="1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customFormat="false" ht="1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customFormat="false" ht="1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customFormat="false" ht="1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customFormat="false" ht="1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</row>
    <row r="73" customFormat="false" ht="1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</row>
    <row r="74" customFormat="false" ht="1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</row>
    <row r="75" customFormat="false" ht="1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customFormat="false" ht="1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</row>
    <row r="77" customFormat="false" ht="1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</row>
    <row r="78" customFormat="false" ht="1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</row>
    <row r="79" customFormat="false" ht="1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</row>
    <row r="80" customFormat="false" ht="1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customFormat="false" ht="1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</row>
    <row r="82" customFormat="false" ht="1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</row>
    <row r="83" customFormat="false" ht="1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</row>
    <row r="84" customFormat="false" ht="1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</row>
    <row r="85" customFormat="false" ht="1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customFormat="false" ht="1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</row>
    <row r="87" customFormat="false" ht="1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</row>
    <row r="88" customFormat="false" ht="1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</row>
    <row r="89" customFormat="false" ht="1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</row>
    <row r="90" customFormat="false" ht="1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</row>
    <row r="91" customFormat="false" ht="1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</row>
    <row r="92" customFormat="false" ht="1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</row>
    <row r="93" customFormat="false" ht="1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</row>
    <row r="94" customFormat="false" ht="1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</row>
    <row r="95" customFormat="false" ht="1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</row>
    <row r="96" customFormat="false" ht="1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</row>
    <row r="97" customFormat="false" ht="1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</row>
    <row r="98" customFormat="false" ht="1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</row>
    <row r="99" customFormat="false" ht="1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customFormat="false" ht="1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customFormat="false" ht="1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customFormat="false" ht="1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customFormat="false" ht="1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customFormat="false" ht="1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</sheetData>
  <mergeCells count="1">
    <mergeCell ref="A1:K1"/>
  </mergeCells>
  <conditionalFormatting sqref="J5:J104">
    <cfRule type="expression" priority="2" aboveAverage="0" equalAverage="0" bottom="0" percent="0" rank="0" text="" dxfId="0">
      <formula>J5="Trazado"</formula>
    </cfRule>
    <cfRule type="expression" priority="3" aboveAverage="0" equalAverage="0" bottom="0" percent="0" rank="0" text="" dxfId="1">
      <formula>J5="Revisar"</formula>
    </cfRule>
  </conditionalFormatting>
  <dataValidations count="1">
    <dataValidation allowBlank="false" errorStyle="stop" operator="between" showDropDown="false" showErrorMessage="false" showInputMessage="false" sqref="J5:J104" type="list">
      <formula1>"Trazado,Revisar,Pendiente"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24"/>
    <col collapsed="false" customWidth="true" hidden="false" outlineLevel="0" max="4" min="4" style="1" width="25"/>
    <col collapsed="false" customWidth="true" hidden="false" outlineLevel="0" max="5" min="5" style="1" width="30"/>
    <col collapsed="false" customWidth="true" hidden="false" outlineLevel="0" max="6" min="6" style="1" width="18"/>
    <col collapsed="false" customWidth="true" hidden="false" outlineLevel="0" max="7" min="7" style="1" width="38"/>
    <col collapsed="false" customWidth="true" hidden="false" outlineLevel="0" max="8" min="8" style="1" width="14"/>
  </cols>
  <sheetData>
    <row r="1" customFormat="false" ht="20.25" hidden="false" customHeight="true" outlineLevel="0" collapsed="false">
      <c r="A1" s="2" t="s">
        <v>315</v>
      </c>
      <c r="B1" s="2"/>
      <c r="C1" s="2"/>
      <c r="D1" s="2"/>
      <c r="E1" s="2"/>
      <c r="F1" s="2"/>
      <c r="G1" s="2"/>
      <c r="H1" s="2"/>
      <c r="I1" s="3"/>
      <c r="J1" s="3"/>
      <c r="K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4" t="s">
        <v>316</v>
      </c>
      <c r="B3" s="4" t="s">
        <v>317</v>
      </c>
      <c r="C3" s="4" t="s">
        <v>318</v>
      </c>
      <c r="D3" s="4" t="s">
        <v>319</v>
      </c>
      <c r="E3" s="4" t="s">
        <v>320</v>
      </c>
      <c r="F3" s="4" t="s">
        <v>321</v>
      </c>
      <c r="G3" s="4" t="s">
        <v>322</v>
      </c>
      <c r="H3" s="4" t="s">
        <v>160</v>
      </c>
      <c r="I3" s="3"/>
      <c r="J3" s="3"/>
      <c r="K3" s="3"/>
    </row>
    <row r="4" customFormat="false" ht="15" hidden="false" customHeight="true" outlineLevel="0" collapsed="false">
      <c r="A4" s="9" t="s">
        <v>323</v>
      </c>
      <c r="B4" s="9" t="s">
        <v>324</v>
      </c>
      <c r="C4" s="9" t="s">
        <v>325</v>
      </c>
      <c r="D4" s="9" t="s">
        <v>326</v>
      </c>
      <c r="E4" s="9" t="s">
        <v>327</v>
      </c>
      <c r="F4" s="9" t="s">
        <v>328</v>
      </c>
      <c r="G4" s="9" t="s">
        <v>329</v>
      </c>
      <c r="H4" s="9" t="s">
        <v>330</v>
      </c>
      <c r="I4" s="3"/>
      <c r="J4" s="3"/>
      <c r="K4" s="3"/>
    </row>
    <row r="5" customFormat="false" ht="23.25" hidden="false" customHeight="true" outlineLevel="0" collapsed="false">
      <c r="A5" s="9" t="s">
        <v>331</v>
      </c>
      <c r="B5" s="9" t="s">
        <v>332</v>
      </c>
      <c r="C5" s="9" t="s">
        <v>325</v>
      </c>
      <c r="D5" s="9" t="s">
        <v>333</v>
      </c>
      <c r="E5" s="9" t="s">
        <v>334</v>
      </c>
      <c r="F5" s="9" t="s">
        <v>328</v>
      </c>
      <c r="G5" s="9" t="s">
        <v>335</v>
      </c>
      <c r="H5" s="9" t="s">
        <v>330</v>
      </c>
      <c r="I5" s="3"/>
      <c r="J5" s="3"/>
      <c r="K5" s="3"/>
    </row>
    <row r="6" customFormat="false" ht="233.25" hidden="false" customHeight="true" outlineLevel="0" collapsed="false">
      <c r="A6" s="9" t="s">
        <v>336</v>
      </c>
      <c r="B6" s="9" t="s">
        <v>337</v>
      </c>
      <c r="C6" s="9" t="s">
        <v>338</v>
      </c>
      <c r="D6" s="9" t="s">
        <v>339</v>
      </c>
      <c r="E6" s="9" t="s">
        <v>340</v>
      </c>
      <c r="F6" s="9" t="s">
        <v>328</v>
      </c>
      <c r="G6" s="9" t="s">
        <v>341</v>
      </c>
      <c r="H6" s="9" t="s">
        <v>342</v>
      </c>
      <c r="I6" s="3"/>
      <c r="J6" s="3"/>
      <c r="K6" s="3"/>
    </row>
    <row r="7" customFormat="false" ht="15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3"/>
      <c r="J7" s="3"/>
      <c r="K7" s="3"/>
    </row>
    <row r="8" customFormat="false" ht="15" hidden="false" customHeight="true" outlineLevel="0" collapsed="false">
      <c r="A8" s="6"/>
      <c r="B8" s="6"/>
      <c r="C8" s="6"/>
      <c r="D8" s="6"/>
      <c r="E8" s="6"/>
      <c r="F8" s="6"/>
      <c r="G8" s="6"/>
      <c r="H8" s="6"/>
      <c r="I8" s="3"/>
      <c r="J8" s="3"/>
      <c r="K8" s="3"/>
    </row>
    <row r="9" customFormat="false" ht="15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3"/>
      <c r="J9" s="3"/>
      <c r="K9" s="3"/>
    </row>
    <row r="10" customFormat="false" ht="1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3"/>
      <c r="J10" s="3"/>
      <c r="K10" s="3"/>
    </row>
    <row r="11" customFormat="false" ht="15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3"/>
      <c r="J11" s="3"/>
      <c r="K11" s="3"/>
    </row>
    <row r="12" customFormat="false" ht="15" hidden="false" customHeight="true" outlineLevel="0" collapsed="false">
      <c r="A12" s="6"/>
      <c r="B12" s="6"/>
      <c r="C12" s="6"/>
      <c r="D12" s="6"/>
      <c r="E12" s="6"/>
      <c r="F12" s="6"/>
      <c r="G12" s="6"/>
      <c r="H12" s="6"/>
      <c r="I12" s="3"/>
      <c r="J12" s="3"/>
      <c r="K12" s="3"/>
    </row>
    <row r="13" customFormat="false" ht="1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3"/>
      <c r="J13" s="3"/>
      <c r="K13" s="3"/>
    </row>
    <row r="14" customFormat="false" ht="15" hidden="false" customHeight="true" outlineLevel="0" collapsed="false">
      <c r="A14" s="6"/>
      <c r="B14" s="6"/>
      <c r="C14" s="6"/>
      <c r="D14" s="6"/>
      <c r="E14" s="6"/>
      <c r="F14" s="6"/>
      <c r="G14" s="6"/>
      <c r="H14" s="6"/>
      <c r="I14" s="3"/>
      <c r="J14" s="3"/>
      <c r="K14" s="3"/>
    </row>
    <row r="15" customFormat="false" ht="15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3"/>
      <c r="J15" s="3"/>
      <c r="K15" s="3"/>
    </row>
    <row r="16" customFormat="false" ht="15" hidden="false" customHeight="true" outlineLevel="0" collapsed="false">
      <c r="A16" s="6"/>
      <c r="B16" s="6"/>
      <c r="C16" s="6"/>
      <c r="D16" s="6"/>
      <c r="E16" s="6"/>
      <c r="F16" s="6"/>
      <c r="G16" s="6"/>
      <c r="H16" s="6"/>
      <c r="I16" s="3"/>
      <c r="J16" s="3"/>
      <c r="K16" s="3"/>
    </row>
    <row r="17" customFormat="false" ht="15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3"/>
      <c r="J17" s="3"/>
      <c r="K17" s="3"/>
    </row>
    <row r="18" customFormat="false" ht="1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3"/>
      <c r="J18" s="3"/>
      <c r="K18" s="3"/>
    </row>
    <row r="19" customFormat="false" ht="15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3"/>
      <c r="J19" s="3"/>
      <c r="K19" s="3"/>
    </row>
    <row r="20" customFormat="false" ht="15" hidden="false" customHeight="true" outlineLevel="0" collapsed="false">
      <c r="A20" s="6"/>
      <c r="B20" s="6"/>
      <c r="C20" s="6"/>
      <c r="D20" s="6"/>
      <c r="E20" s="6"/>
      <c r="F20" s="6"/>
      <c r="G20" s="6"/>
      <c r="H20" s="6"/>
      <c r="I20" s="3"/>
      <c r="J20" s="3"/>
      <c r="K20" s="3"/>
    </row>
    <row r="21" customFormat="false" ht="15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3"/>
      <c r="J21" s="3"/>
      <c r="K21" s="3"/>
    </row>
    <row r="22" customFormat="false" ht="15" hidden="false" customHeight="true" outlineLevel="0" collapsed="false">
      <c r="A22" s="6"/>
      <c r="B22" s="6"/>
      <c r="C22" s="6"/>
      <c r="D22" s="6"/>
      <c r="E22" s="6"/>
      <c r="F22" s="6"/>
      <c r="G22" s="6"/>
      <c r="H22" s="6"/>
      <c r="I22" s="3"/>
      <c r="J22" s="3"/>
      <c r="K22" s="3"/>
    </row>
    <row r="23" customFormat="false" ht="15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3"/>
      <c r="J23" s="3"/>
      <c r="K23" s="3"/>
    </row>
    <row r="24" customFormat="false" ht="1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3"/>
      <c r="J24" s="3"/>
      <c r="K24" s="3"/>
    </row>
    <row r="25" customFormat="false" ht="15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3"/>
      <c r="J25" s="3"/>
      <c r="K25" s="3"/>
    </row>
    <row r="26" customFormat="false" ht="15" hidden="false" customHeight="true" outlineLevel="0" collapsed="false">
      <c r="A26" s="6"/>
      <c r="B26" s="6"/>
      <c r="C26" s="6"/>
      <c r="D26" s="6"/>
      <c r="E26" s="6"/>
      <c r="F26" s="6"/>
      <c r="G26" s="6"/>
      <c r="H26" s="6"/>
      <c r="I26" s="3"/>
      <c r="J26" s="3"/>
      <c r="K26" s="3"/>
    </row>
    <row r="27" customFormat="false" ht="15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3"/>
      <c r="J27" s="3"/>
      <c r="K27" s="3"/>
    </row>
    <row r="28" customFormat="false" ht="1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3"/>
      <c r="J28" s="3"/>
      <c r="K28" s="3"/>
    </row>
    <row r="29" customFormat="false" ht="15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3"/>
      <c r="J29" s="3"/>
      <c r="K29" s="3"/>
    </row>
    <row r="30" customFormat="false" ht="15" hidden="false" customHeight="true" outlineLevel="0" collapsed="false">
      <c r="A30" s="6"/>
      <c r="B30" s="6"/>
      <c r="C30" s="6"/>
      <c r="D30" s="6"/>
      <c r="E30" s="6"/>
      <c r="F30" s="6"/>
      <c r="G30" s="6"/>
      <c r="H30" s="6"/>
      <c r="I30" s="3"/>
      <c r="J30" s="3"/>
      <c r="K30" s="3"/>
    </row>
    <row r="31" customFormat="false" ht="15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3"/>
      <c r="J31" s="3"/>
      <c r="K31" s="3"/>
    </row>
    <row r="32" customFormat="false" ht="15" hidden="false" customHeight="true" outlineLevel="0" collapsed="false">
      <c r="A32" s="6"/>
      <c r="B32" s="6"/>
      <c r="C32" s="6"/>
      <c r="D32" s="6"/>
      <c r="E32" s="6"/>
      <c r="F32" s="6"/>
      <c r="G32" s="6"/>
      <c r="H32" s="6"/>
      <c r="I32" s="3"/>
      <c r="J32" s="3"/>
      <c r="K32" s="3"/>
    </row>
    <row r="33" customFormat="false" ht="15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3"/>
      <c r="J33" s="3"/>
      <c r="K33" s="3"/>
    </row>
    <row r="34" customFormat="false" ht="15" hidden="false" customHeight="true" outlineLevel="0" collapsed="false">
      <c r="A34" s="6"/>
      <c r="B34" s="6"/>
      <c r="C34" s="6"/>
      <c r="D34" s="6"/>
      <c r="E34" s="6"/>
      <c r="F34" s="6"/>
      <c r="G34" s="6"/>
      <c r="H34" s="6"/>
      <c r="I34" s="3"/>
      <c r="J34" s="3"/>
      <c r="K34" s="3"/>
    </row>
    <row r="35" customFormat="false" ht="15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3"/>
      <c r="J35" s="3"/>
      <c r="K35" s="3"/>
    </row>
    <row r="36" customFormat="false" ht="1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3"/>
      <c r="J36" s="3"/>
      <c r="K36" s="3"/>
    </row>
    <row r="37" customFormat="false" ht="1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3"/>
      <c r="J37" s="3"/>
      <c r="K37" s="3"/>
    </row>
    <row r="38" customFormat="false" ht="1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3"/>
      <c r="J38" s="3"/>
      <c r="K38" s="3"/>
    </row>
    <row r="39" customFormat="false" ht="1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3"/>
      <c r="J39" s="3"/>
      <c r="K39" s="3"/>
    </row>
    <row r="40" customFormat="false" ht="1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3"/>
      <c r="J40" s="3"/>
      <c r="K40" s="3"/>
    </row>
    <row r="41" customFormat="false" ht="1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3"/>
      <c r="J41" s="3"/>
      <c r="K41" s="3"/>
    </row>
    <row r="42" customFormat="false" ht="15" hidden="false" customHeight="true" outlineLevel="0" collapsed="false">
      <c r="A42" s="6"/>
      <c r="B42" s="6"/>
      <c r="C42" s="6"/>
      <c r="D42" s="6"/>
      <c r="E42" s="6"/>
      <c r="F42" s="6"/>
      <c r="G42" s="6"/>
      <c r="H42" s="6"/>
      <c r="I42" s="3"/>
      <c r="J42" s="3"/>
      <c r="K42" s="3"/>
    </row>
    <row r="43" customFormat="false" ht="1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3"/>
      <c r="J43" s="3"/>
      <c r="K43" s="3"/>
    </row>
    <row r="44" customFormat="false" ht="1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3"/>
      <c r="J44" s="3"/>
      <c r="K44" s="3"/>
    </row>
    <row r="45" customFormat="false" ht="1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3"/>
      <c r="J45" s="3"/>
      <c r="K45" s="3"/>
    </row>
    <row r="46" customFormat="false" ht="1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3"/>
      <c r="J46" s="3"/>
      <c r="K46" s="3"/>
    </row>
    <row r="47" customFormat="false" ht="1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3"/>
      <c r="J47" s="3"/>
      <c r="K47" s="3"/>
    </row>
    <row r="48" customFormat="false" ht="1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3"/>
      <c r="J48" s="3"/>
      <c r="K48" s="3"/>
    </row>
    <row r="49" customFormat="false" ht="1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3"/>
      <c r="J49" s="3"/>
      <c r="K49" s="3"/>
    </row>
    <row r="50" customFormat="false" ht="1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3"/>
      <c r="J50" s="3"/>
      <c r="K50" s="3"/>
    </row>
    <row r="51" customFormat="false" ht="1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3"/>
      <c r="J51" s="3"/>
      <c r="K51" s="3"/>
    </row>
    <row r="52" customFormat="false" ht="1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3"/>
      <c r="J52" s="3"/>
      <c r="K52" s="3"/>
    </row>
    <row r="53" customFormat="false" ht="1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3"/>
      <c r="J53" s="3"/>
      <c r="K53" s="3"/>
    </row>
    <row r="54" customFormat="false" ht="1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3"/>
      <c r="J54" s="3"/>
      <c r="K54" s="3"/>
    </row>
    <row r="55" customFormat="false" ht="1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3"/>
      <c r="J55" s="3"/>
      <c r="K55" s="3"/>
    </row>
    <row r="56" customFormat="false" ht="1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3"/>
      <c r="J56" s="3"/>
      <c r="K56" s="3"/>
    </row>
    <row r="57" customFormat="false" ht="1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3"/>
      <c r="J57" s="3"/>
      <c r="K57" s="3"/>
    </row>
    <row r="58" customFormat="false" ht="1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3"/>
      <c r="J58" s="3"/>
      <c r="K58" s="3"/>
    </row>
    <row r="59" customFormat="false" ht="1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3"/>
      <c r="J59" s="3"/>
      <c r="K59" s="3"/>
    </row>
    <row r="60" customFormat="false" ht="1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3"/>
      <c r="J60" s="3"/>
      <c r="K60" s="3"/>
    </row>
    <row r="61" customFormat="false" ht="1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3"/>
      <c r="J61" s="3"/>
      <c r="K61" s="3"/>
    </row>
    <row r="62" customFormat="false" ht="1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3"/>
      <c r="J62" s="3"/>
      <c r="K62" s="3"/>
    </row>
    <row r="63" customFormat="false" ht="1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3"/>
      <c r="J63" s="3"/>
      <c r="K63" s="3"/>
    </row>
    <row r="64" customFormat="false" ht="1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3"/>
      <c r="J64" s="3"/>
      <c r="K64" s="3"/>
    </row>
    <row r="65" customFormat="false" ht="1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3"/>
      <c r="J65" s="3"/>
      <c r="K65" s="3"/>
    </row>
    <row r="66" customFormat="false" ht="1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3"/>
      <c r="J66" s="3"/>
      <c r="K66" s="3"/>
    </row>
    <row r="67" customFormat="false" ht="1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3"/>
      <c r="J67" s="3"/>
      <c r="K67" s="3"/>
    </row>
    <row r="68" customFormat="false" ht="1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3"/>
      <c r="J68" s="3"/>
      <c r="K68" s="3"/>
    </row>
    <row r="69" customFormat="false" ht="1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3"/>
      <c r="J69" s="3"/>
      <c r="K69" s="3"/>
    </row>
    <row r="70" customFormat="false" ht="1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3"/>
      <c r="J70" s="3"/>
      <c r="K70" s="3"/>
    </row>
    <row r="71" customFormat="false" ht="1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3"/>
      <c r="J71" s="3"/>
      <c r="K71" s="3"/>
    </row>
    <row r="72" customFormat="false" ht="1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3"/>
      <c r="J72" s="3"/>
      <c r="K72" s="3"/>
    </row>
    <row r="73" customFormat="false" ht="1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3"/>
      <c r="J73" s="3"/>
      <c r="K73" s="3"/>
    </row>
    <row r="74" customFormat="false" ht="1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3"/>
      <c r="J74" s="3"/>
      <c r="K74" s="3"/>
    </row>
    <row r="75" customFormat="false" ht="1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3"/>
      <c r="J75" s="3"/>
      <c r="K75" s="3"/>
    </row>
    <row r="76" customFormat="false" ht="1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3"/>
      <c r="J76" s="3"/>
      <c r="K76" s="3"/>
    </row>
    <row r="77" customFormat="false" ht="1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3"/>
      <c r="J77" s="3"/>
      <c r="K77" s="3"/>
    </row>
    <row r="78" customFormat="false" ht="1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3"/>
      <c r="J78" s="3"/>
      <c r="K78" s="3"/>
    </row>
    <row r="79" customFormat="false" ht="1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3"/>
      <c r="J79" s="3"/>
      <c r="K79" s="3"/>
    </row>
    <row r="80" customFormat="false" ht="1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3"/>
      <c r="J80" s="3"/>
      <c r="K80" s="3"/>
    </row>
    <row r="81" customFormat="false" ht="1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3"/>
      <c r="J81" s="3"/>
      <c r="K81" s="3"/>
    </row>
    <row r="82" customFormat="false" ht="1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3"/>
      <c r="J82" s="3"/>
      <c r="K82" s="3"/>
    </row>
    <row r="83" customFormat="false" ht="1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3"/>
      <c r="J83" s="3"/>
      <c r="K83" s="3"/>
    </row>
    <row r="84" customFormat="false" ht="1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3"/>
      <c r="J84" s="3"/>
      <c r="K84" s="3"/>
    </row>
    <row r="85" customFormat="false" ht="1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3"/>
      <c r="J85" s="3"/>
      <c r="K85" s="3"/>
    </row>
    <row r="86" customFormat="false" ht="1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3"/>
      <c r="J86" s="3"/>
      <c r="K86" s="3"/>
    </row>
    <row r="87" customFormat="false" ht="1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3"/>
      <c r="J87" s="3"/>
      <c r="K87" s="3"/>
    </row>
    <row r="88" customFormat="false" ht="1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3"/>
      <c r="J88" s="3"/>
      <c r="K88" s="3"/>
    </row>
    <row r="89" customFormat="false" ht="1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3"/>
      <c r="J89" s="3"/>
      <c r="K89" s="3"/>
    </row>
    <row r="90" customFormat="false" ht="1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3"/>
      <c r="J90" s="3"/>
      <c r="K90" s="3"/>
    </row>
    <row r="91" customFormat="false" ht="1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3"/>
      <c r="J91" s="3"/>
      <c r="K91" s="3"/>
    </row>
    <row r="92" customFormat="false" ht="1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3"/>
      <c r="J92" s="3"/>
      <c r="K92" s="3"/>
    </row>
    <row r="93" customFormat="false" ht="1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3"/>
      <c r="J93" s="3"/>
      <c r="K93" s="3"/>
    </row>
    <row r="94" customFormat="false" ht="1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3"/>
      <c r="J94" s="3"/>
      <c r="K94" s="3"/>
    </row>
    <row r="95" customFormat="false" ht="1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3"/>
      <c r="J95" s="3"/>
      <c r="K95" s="3"/>
    </row>
    <row r="96" customFormat="false" ht="1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3"/>
      <c r="J96" s="3"/>
      <c r="K96" s="3"/>
    </row>
    <row r="97" customFormat="false" ht="1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3"/>
      <c r="J97" s="3"/>
      <c r="K97" s="3"/>
    </row>
    <row r="98" customFormat="false" ht="1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3"/>
      <c r="J98" s="3"/>
      <c r="K98" s="3"/>
    </row>
    <row r="99" customFormat="false" ht="1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3"/>
      <c r="J99" s="3"/>
      <c r="K99" s="3"/>
    </row>
    <row r="100" customFormat="false" ht="1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3"/>
      <c r="J100" s="3"/>
      <c r="K100" s="3"/>
    </row>
    <row r="101" customFormat="false" ht="1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3"/>
      <c r="J101" s="3"/>
      <c r="K101" s="3"/>
    </row>
    <row r="102" customFormat="false" ht="1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3"/>
      <c r="J102" s="3"/>
      <c r="K102" s="3"/>
    </row>
    <row r="103" customFormat="false" ht="1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3"/>
      <c r="J103" s="3"/>
      <c r="K103" s="3"/>
    </row>
    <row r="104" customFormat="false" ht="1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3"/>
      <c r="J104" s="3"/>
      <c r="K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</sheetData>
  <mergeCells count="1">
    <mergeCell ref="A1:H1"/>
  </mergeCells>
  <dataValidations count="2">
    <dataValidation allowBlank="false" errorStyle="stop" operator="between" showDropDown="false" showErrorMessage="false" showInputMessage="false" sqref="A6:A104" type="list">
      <formula1>"Ruta A · JDBC,Ruta B · Web JPA/Hibernate,Otra justificada"</formula1>
      <formula2>0</formula2>
    </dataValidation>
    <dataValidation allowBlank="false" errorStyle="stop" operator="between" showDropDown="false" showErrorMessage="false" showInputMessage="false" sqref="H6:H104" type="list">
      <formula1>"Validado,Revisar,Pendiente"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32"/>
    <col collapsed="false" customWidth="true" hidden="false" outlineLevel="0" max="5" min="5" style="1" width="14"/>
  </cols>
  <sheetData>
    <row r="1" customFormat="false" ht="20.25" hidden="false" customHeight="true" outlineLevel="0" collapsed="false">
      <c r="A1" s="2" t="s">
        <v>343</v>
      </c>
      <c r="B1" s="2"/>
      <c r="C1" s="2"/>
      <c r="D1" s="2"/>
      <c r="E1" s="2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4" t="s">
        <v>344</v>
      </c>
      <c r="B3" s="4" t="s">
        <v>345</v>
      </c>
      <c r="C3" s="4" t="s">
        <v>200</v>
      </c>
      <c r="D3" s="4" t="s">
        <v>24</v>
      </c>
      <c r="E3" s="4" t="s">
        <v>346</v>
      </c>
      <c r="F3" s="3"/>
      <c r="G3" s="3"/>
      <c r="H3" s="3"/>
      <c r="I3" s="3"/>
      <c r="J3" s="3"/>
      <c r="K3" s="3"/>
    </row>
    <row r="4" customFormat="false" ht="44.25" hidden="false" customHeight="true" outlineLevel="0" collapsed="false">
      <c r="A4" s="6" t="s">
        <v>347</v>
      </c>
      <c r="B4" s="6" t="s">
        <v>348</v>
      </c>
      <c r="C4" s="6" t="s">
        <v>349</v>
      </c>
      <c r="D4" s="6"/>
      <c r="E4" s="6" t="s">
        <v>350</v>
      </c>
      <c r="F4" s="3"/>
      <c r="G4" s="3"/>
      <c r="H4" s="3"/>
      <c r="I4" s="3"/>
      <c r="J4" s="3"/>
      <c r="K4" s="3"/>
    </row>
    <row r="5" customFormat="false" ht="44.25" hidden="false" customHeight="true" outlineLevel="0" collapsed="false">
      <c r="A5" s="6" t="s">
        <v>351</v>
      </c>
      <c r="B5" s="6" t="s">
        <v>348</v>
      </c>
      <c r="C5" s="6" t="s">
        <v>352</v>
      </c>
      <c r="D5" s="6" t="s">
        <v>353</v>
      </c>
      <c r="E5" s="6" t="s">
        <v>350</v>
      </c>
      <c r="F5" s="3"/>
      <c r="G5" s="3"/>
      <c r="H5" s="3"/>
      <c r="I5" s="3"/>
      <c r="J5" s="3"/>
      <c r="K5" s="3"/>
    </row>
    <row r="6" customFormat="false" ht="44.25" hidden="false" customHeight="true" outlineLevel="0" collapsed="false">
      <c r="A6" s="6" t="s">
        <v>354</v>
      </c>
      <c r="B6" s="6" t="s">
        <v>348</v>
      </c>
      <c r="C6" s="6" t="s">
        <v>355</v>
      </c>
      <c r="D6" s="6" t="s">
        <v>356</v>
      </c>
      <c r="E6" s="6" t="s">
        <v>350</v>
      </c>
      <c r="F6" s="3"/>
      <c r="G6" s="3"/>
      <c r="H6" s="3"/>
      <c r="I6" s="3"/>
      <c r="J6" s="3"/>
      <c r="K6" s="3"/>
    </row>
    <row r="7" customFormat="false" ht="44.25" hidden="false" customHeight="true" outlineLevel="0" collapsed="false">
      <c r="A7" s="6" t="s">
        <v>357</v>
      </c>
      <c r="B7" s="6" t="s">
        <v>348</v>
      </c>
      <c r="C7" s="6" t="s">
        <v>358</v>
      </c>
      <c r="D7" s="6"/>
      <c r="E7" s="6" t="s">
        <v>350</v>
      </c>
      <c r="F7" s="3"/>
      <c r="G7" s="3"/>
      <c r="H7" s="3"/>
      <c r="I7" s="3"/>
      <c r="J7" s="3"/>
      <c r="K7" s="3"/>
    </row>
    <row r="8" customFormat="false" ht="44.25" hidden="false" customHeight="true" outlineLevel="0" collapsed="false">
      <c r="A8" s="6" t="s">
        <v>359</v>
      </c>
      <c r="B8" s="6" t="s">
        <v>348</v>
      </c>
      <c r="C8" s="6" t="s">
        <v>360</v>
      </c>
      <c r="D8" s="6"/>
      <c r="E8" s="6" t="s">
        <v>350</v>
      </c>
      <c r="F8" s="3"/>
      <c r="G8" s="3"/>
      <c r="H8" s="3"/>
      <c r="I8" s="3"/>
      <c r="J8" s="3"/>
      <c r="K8" s="3"/>
    </row>
    <row r="9" customFormat="false" ht="111.75" hidden="false" customHeight="true" outlineLevel="0" collapsed="false">
      <c r="A9" s="6" t="s">
        <v>361</v>
      </c>
      <c r="B9" s="6" t="s">
        <v>348</v>
      </c>
      <c r="C9" s="6" t="s">
        <v>362</v>
      </c>
      <c r="D9" s="6" t="s">
        <v>363</v>
      </c>
      <c r="E9" s="6" t="s">
        <v>350</v>
      </c>
      <c r="F9" s="3"/>
      <c r="G9" s="3"/>
      <c r="H9" s="3"/>
      <c r="I9" s="3"/>
      <c r="J9" s="3"/>
      <c r="K9" s="3"/>
    </row>
    <row r="10" customFormat="false" ht="71.25" hidden="false" customHeight="true" outlineLevel="0" collapsed="false">
      <c r="A10" s="6" t="s">
        <v>364</v>
      </c>
      <c r="B10" s="6" t="s">
        <v>348</v>
      </c>
      <c r="C10" s="6" t="s">
        <v>365</v>
      </c>
      <c r="D10" s="6"/>
      <c r="E10" s="6" t="s">
        <v>350</v>
      </c>
      <c r="F10" s="3"/>
      <c r="G10" s="3"/>
      <c r="H10" s="3"/>
      <c r="I10" s="3"/>
      <c r="J10" s="3"/>
      <c r="K10" s="3"/>
    </row>
    <row r="11" customFormat="false" ht="30.75" hidden="false" customHeight="true" outlineLevel="0" collapsed="false">
      <c r="A11" s="6" t="s">
        <v>366</v>
      </c>
      <c r="B11" s="6" t="s">
        <v>348</v>
      </c>
      <c r="C11" s="6" t="s">
        <v>367</v>
      </c>
      <c r="D11" s="6"/>
      <c r="E11" s="6" t="s">
        <v>350</v>
      </c>
      <c r="F11" s="3"/>
      <c r="G11" s="3"/>
      <c r="H11" s="3"/>
      <c r="I11" s="3"/>
      <c r="J11" s="3"/>
      <c r="K11" s="3"/>
    </row>
    <row r="12" customFormat="false" ht="57.75" hidden="false" customHeight="true" outlineLevel="0" collapsed="false">
      <c r="A12" s="6" t="s">
        <v>368</v>
      </c>
      <c r="B12" s="6" t="s">
        <v>348</v>
      </c>
      <c r="C12" s="6" t="s">
        <v>369</v>
      </c>
      <c r="D12" s="6"/>
      <c r="E12" s="6" t="s">
        <v>350</v>
      </c>
      <c r="F12" s="3"/>
      <c r="G12" s="3"/>
      <c r="H12" s="3"/>
      <c r="I12" s="3"/>
      <c r="J12" s="3"/>
      <c r="K12" s="3"/>
    </row>
    <row r="13" customFormat="false" ht="44.25" hidden="false" customHeight="true" outlineLevel="0" collapsed="false">
      <c r="A13" s="6" t="s">
        <v>370</v>
      </c>
      <c r="B13" s="6" t="s">
        <v>348</v>
      </c>
      <c r="C13" s="6" t="s">
        <v>371</v>
      </c>
      <c r="D13" s="6" t="s">
        <v>372</v>
      </c>
      <c r="E13" s="6" t="s">
        <v>350</v>
      </c>
      <c r="F13" s="3"/>
      <c r="G13" s="3"/>
      <c r="H13" s="3"/>
      <c r="I13" s="3"/>
      <c r="J13" s="3"/>
      <c r="K13" s="3"/>
    </row>
    <row r="14" customFormat="false" ht="30.75" hidden="false" customHeight="true" outlineLevel="0" collapsed="false">
      <c r="A14" s="6" t="s">
        <v>373</v>
      </c>
      <c r="B14" s="6" t="s">
        <v>348</v>
      </c>
      <c r="C14" s="6" t="s">
        <v>374</v>
      </c>
      <c r="D14" s="6" t="s">
        <v>375</v>
      </c>
      <c r="E14" s="6" t="s">
        <v>350</v>
      </c>
      <c r="F14" s="3"/>
      <c r="G14" s="3"/>
      <c r="H14" s="3"/>
      <c r="I14" s="3"/>
      <c r="J14" s="3"/>
      <c r="K14" s="3"/>
    </row>
    <row r="15" customFormat="false" ht="84.75" hidden="false" customHeight="true" outlineLevel="0" collapsed="false">
      <c r="A15" s="6" t="s">
        <v>376</v>
      </c>
      <c r="B15" s="6" t="s">
        <v>348</v>
      </c>
      <c r="C15" s="6" t="s">
        <v>377</v>
      </c>
      <c r="D15" s="6" t="s">
        <v>378</v>
      </c>
      <c r="E15" s="6" t="s">
        <v>350</v>
      </c>
      <c r="F15" s="3"/>
      <c r="G15" s="3"/>
      <c r="H15" s="3"/>
      <c r="I15" s="3"/>
      <c r="J15" s="3"/>
      <c r="K15" s="3"/>
    </row>
    <row r="16" customFormat="false" ht="44.25" hidden="false" customHeight="true" outlineLevel="0" collapsed="false">
      <c r="A16" s="6" t="s">
        <v>379</v>
      </c>
      <c r="B16" s="6" t="s">
        <v>348</v>
      </c>
      <c r="C16" s="6" t="s">
        <v>380</v>
      </c>
      <c r="D16" s="6"/>
      <c r="E16" s="6" t="s">
        <v>350</v>
      </c>
      <c r="F16" s="3"/>
      <c r="G16" s="3"/>
      <c r="H16" s="3"/>
      <c r="I16" s="3"/>
      <c r="J16" s="3"/>
      <c r="K16" s="3"/>
    </row>
    <row r="17" customFormat="false" ht="57.75" hidden="false" customHeight="true" outlineLevel="0" collapsed="false">
      <c r="A17" s="6" t="s">
        <v>381</v>
      </c>
      <c r="B17" s="6" t="s">
        <v>348</v>
      </c>
      <c r="C17" s="6" t="s">
        <v>382</v>
      </c>
      <c r="D17" s="6"/>
      <c r="E17" s="6" t="s">
        <v>350</v>
      </c>
      <c r="F17" s="3"/>
      <c r="G17" s="3"/>
      <c r="H17" s="3"/>
      <c r="I17" s="3"/>
      <c r="J17" s="3"/>
      <c r="K17" s="3"/>
    </row>
    <row r="18" customFormat="false" ht="30.75" hidden="false" customHeight="true" outlineLevel="0" collapsed="false">
      <c r="A18" s="6" t="s">
        <v>383</v>
      </c>
      <c r="B18" s="6" t="s">
        <v>348</v>
      </c>
      <c r="C18" s="6" t="s">
        <v>384</v>
      </c>
      <c r="D18" s="6"/>
      <c r="E18" s="6" t="s">
        <v>350</v>
      </c>
      <c r="F18" s="3"/>
      <c r="G18" s="3"/>
      <c r="H18" s="3"/>
      <c r="I18" s="3"/>
      <c r="J18" s="3"/>
      <c r="K18" s="3"/>
    </row>
    <row r="19" customFormat="false" ht="44.25" hidden="false" customHeight="true" outlineLevel="0" collapsed="false">
      <c r="A19" s="6" t="s">
        <v>385</v>
      </c>
      <c r="B19" s="6" t="s">
        <v>348</v>
      </c>
      <c r="C19" s="6" t="s">
        <v>386</v>
      </c>
      <c r="D19" s="6" t="s">
        <v>387</v>
      </c>
      <c r="E19" s="6" t="s">
        <v>350</v>
      </c>
      <c r="F19" s="3"/>
      <c r="G19" s="3"/>
      <c r="H19" s="3"/>
      <c r="I19" s="3"/>
      <c r="J19" s="3"/>
      <c r="K19" s="3"/>
    </row>
    <row r="20" customFormat="false" ht="84.75" hidden="false" customHeight="true" outlineLevel="0" collapsed="false">
      <c r="A20" s="6" t="s">
        <v>388</v>
      </c>
      <c r="B20" s="6" t="s">
        <v>348</v>
      </c>
      <c r="C20" s="6" t="s">
        <v>389</v>
      </c>
      <c r="D20" s="6" t="s">
        <v>390</v>
      </c>
      <c r="E20" s="6" t="s">
        <v>350</v>
      </c>
      <c r="F20" s="3"/>
      <c r="G20" s="3"/>
      <c r="H20" s="3"/>
      <c r="I20" s="3"/>
      <c r="J20" s="3"/>
      <c r="K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</sheetData>
  <mergeCells count="1">
    <mergeCell ref="A1:E1"/>
  </mergeCells>
  <conditionalFormatting sqref="E4:E20">
    <cfRule type="expression" priority="2" aboveAverage="0" equalAverage="0" bottom="0" percent="0" rank="0" text="" dxfId="0">
      <formula>E4="Verde"</formula>
    </cfRule>
    <cfRule type="expression" priority="3" aboveAverage="0" equalAverage="0" bottom="0" percent="0" rank="0" text="" dxfId="1">
      <formula>E4="Amarillo"</formula>
    </cfRule>
    <cfRule type="expression" priority="4" aboveAverage="0" equalAverage="0" bottom="0" percent="0" rank="0" text="" dxfId="2">
      <formula>E4="Rojo"</formula>
    </cfRule>
  </conditionalFormatting>
  <dataValidations count="2">
    <dataValidation allowBlank="false" errorStyle="stop" operator="between" showDropDown="false" showErrorMessage="false" showInputMessage="false" sqref="B4:B20" type="list">
      <formula1>"Sí,No"</formula1>
      <formula2>0</formula2>
    </dataValidation>
    <dataValidation allowBlank="false" errorStyle="stop" operator="between" showDropDown="false" showErrorMessage="false" showInputMessage="false" sqref="E4:E20" type="list">
      <formula1>"Verde,Amarillo,Rojo"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32"/>
    <col collapsed="false" customWidth="true" hidden="false" outlineLevel="0" max="5" min="5" style="1" width="14"/>
  </cols>
  <sheetData>
    <row r="1" customFormat="false" ht="20.25" hidden="false" customHeight="true" outlineLevel="0" collapsed="false">
      <c r="A1" s="2" t="s">
        <v>391</v>
      </c>
      <c r="B1" s="2"/>
      <c r="C1" s="2"/>
      <c r="D1" s="2"/>
      <c r="E1" s="2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4" t="s">
        <v>344</v>
      </c>
      <c r="B3" s="4" t="s">
        <v>345</v>
      </c>
      <c r="C3" s="4" t="s">
        <v>200</v>
      </c>
      <c r="D3" s="4" t="s">
        <v>24</v>
      </c>
      <c r="E3" s="4" t="s">
        <v>346</v>
      </c>
      <c r="F3" s="3"/>
      <c r="G3" s="3"/>
      <c r="H3" s="3"/>
      <c r="I3" s="3"/>
      <c r="J3" s="3"/>
      <c r="K3" s="3"/>
    </row>
    <row r="4" customFormat="false" ht="67.5" hidden="false" customHeight="true" outlineLevel="0" collapsed="false">
      <c r="A4" s="6" t="s">
        <v>347</v>
      </c>
      <c r="B4" s="6" t="s">
        <v>348</v>
      </c>
      <c r="C4" s="6" t="s">
        <v>392</v>
      </c>
      <c r="D4" s="6"/>
      <c r="E4" s="6" t="s">
        <v>350</v>
      </c>
      <c r="F4" s="3"/>
      <c r="G4" s="3"/>
      <c r="H4" s="3"/>
      <c r="I4" s="3"/>
      <c r="J4" s="3"/>
      <c r="K4" s="3"/>
    </row>
    <row r="5" customFormat="false" ht="67.5" hidden="false" customHeight="true" outlineLevel="0" collapsed="false">
      <c r="A5" s="6" t="s">
        <v>351</v>
      </c>
      <c r="B5" s="6" t="s">
        <v>348</v>
      </c>
      <c r="C5" s="6" t="s">
        <v>393</v>
      </c>
      <c r="D5" s="6" t="s">
        <v>394</v>
      </c>
      <c r="E5" s="6" t="s">
        <v>350</v>
      </c>
      <c r="F5" s="3"/>
      <c r="G5" s="3"/>
      <c r="H5" s="3"/>
      <c r="I5" s="3"/>
      <c r="J5" s="3"/>
      <c r="K5" s="3"/>
    </row>
    <row r="6" customFormat="false" ht="42" hidden="false" customHeight="true" outlineLevel="0" collapsed="false">
      <c r="A6" s="6" t="s">
        <v>354</v>
      </c>
      <c r="B6" s="6" t="s">
        <v>348</v>
      </c>
      <c r="C6" s="6" t="s">
        <v>395</v>
      </c>
      <c r="D6" s="6" t="s">
        <v>396</v>
      </c>
      <c r="E6" s="6" t="s">
        <v>350</v>
      </c>
      <c r="F6" s="3"/>
      <c r="G6" s="3"/>
      <c r="H6" s="3"/>
      <c r="I6" s="3"/>
      <c r="J6" s="3"/>
      <c r="K6" s="3"/>
    </row>
    <row r="7" customFormat="false" ht="67.5" hidden="false" customHeight="true" outlineLevel="0" collapsed="false">
      <c r="A7" s="6" t="s">
        <v>357</v>
      </c>
      <c r="B7" s="6" t="s">
        <v>348</v>
      </c>
      <c r="C7" s="6" t="s">
        <v>397</v>
      </c>
      <c r="D7" s="6" t="s">
        <v>398</v>
      </c>
      <c r="E7" s="6" t="s">
        <v>399</v>
      </c>
      <c r="F7" s="3"/>
      <c r="G7" s="3"/>
      <c r="H7" s="3"/>
      <c r="I7" s="3"/>
      <c r="J7" s="3"/>
      <c r="K7" s="3"/>
    </row>
    <row r="8" customFormat="false" ht="54.75" hidden="false" customHeight="true" outlineLevel="0" collapsed="false">
      <c r="A8" s="6" t="s">
        <v>359</v>
      </c>
      <c r="B8" s="6" t="s">
        <v>348</v>
      </c>
      <c r="C8" s="6" t="s">
        <v>400</v>
      </c>
      <c r="D8" s="6"/>
      <c r="E8" s="6" t="s">
        <v>350</v>
      </c>
      <c r="F8" s="3"/>
      <c r="G8" s="3"/>
      <c r="H8" s="3"/>
      <c r="I8" s="3"/>
      <c r="J8" s="3"/>
      <c r="K8" s="3"/>
    </row>
    <row r="9" customFormat="false" ht="131.25" hidden="false" customHeight="true" outlineLevel="0" collapsed="false">
      <c r="A9" s="6" t="s">
        <v>361</v>
      </c>
      <c r="B9" s="6" t="s">
        <v>348</v>
      </c>
      <c r="C9" s="6" t="s">
        <v>401</v>
      </c>
      <c r="D9" s="6" t="s">
        <v>402</v>
      </c>
      <c r="E9" s="6" t="s">
        <v>350</v>
      </c>
      <c r="F9" s="3"/>
      <c r="G9" s="3"/>
      <c r="H9" s="3"/>
      <c r="I9" s="3"/>
      <c r="J9" s="3"/>
      <c r="K9" s="3"/>
    </row>
    <row r="10" customFormat="false" ht="54.75" hidden="false" customHeight="true" outlineLevel="0" collapsed="false">
      <c r="A10" s="6" t="s">
        <v>364</v>
      </c>
      <c r="B10" s="6" t="s">
        <v>348</v>
      </c>
      <c r="C10" s="6" t="s">
        <v>403</v>
      </c>
      <c r="D10" s="6"/>
      <c r="E10" s="6" t="s">
        <v>350</v>
      </c>
      <c r="F10" s="3"/>
      <c r="G10" s="3"/>
      <c r="H10" s="3"/>
      <c r="I10" s="3"/>
      <c r="J10" s="3"/>
      <c r="K10" s="3"/>
    </row>
    <row r="11" customFormat="false" ht="42" hidden="false" customHeight="true" outlineLevel="0" collapsed="false">
      <c r="A11" s="6" t="s">
        <v>366</v>
      </c>
      <c r="B11" s="6" t="s">
        <v>348</v>
      </c>
      <c r="C11" s="6" t="s">
        <v>404</v>
      </c>
      <c r="D11" s="6"/>
      <c r="E11" s="6" t="s">
        <v>350</v>
      </c>
      <c r="F11" s="3"/>
      <c r="G11" s="3"/>
      <c r="H11" s="3"/>
      <c r="I11" s="3"/>
      <c r="J11" s="3"/>
      <c r="K11" s="3"/>
    </row>
    <row r="12" customFormat="false" ht="54.75" hidden="false" customHeight="true" outlineLevel="0" collapsed="false">
      <c r="A12" s="6" t="s">
        <v>368</v>
      </c>
      <c r="B12" s="6" t="s">
        <v>348</v>
      </c>
      <c r="C12" s="6" t="s">
        <v>405</v>
      </c>
      <c r="D12" s="6"/>
      <c r="E12" s="6" t="s">
        <v>350</v>
      </c>
      <c r="F12" s="3"/>
      <c r="G12" s="3"/>
      <c r="H12" s="3"/>
      <c r="I12" s="3"/>
      <c r="J12" s="3"/>
      <c r="K12" s="3"/>
    </row>
    <row r="13" customFormat="false" ht="42" hidden="false" customHeight="true" outlineLevel="0" collapsed="false">
      <c r="A13" s="6" t="s">
        <v>370</v>
      </c>
      <c r="B13" s="6" t="s">
        <v>348</v>
      </c>
      <c r="C13" s="6" t="s">
        <v>371</v>
      </c>
      <c r="D13" s="6" t="s">
        <v>372</v>
      </c>
      <c r="E13" s="6" t="s">
        <v>350</v>
      </c>
      <c r="F13" s="3"/>
      <c r="G13" s="3"/>
      <c r="H13" s="3"/>
      <c r="I13" s="3"/>
      <c r="J13" s="3"/>
      <c r="K13" s="3"/>
    </row>
    <row r="14" customFormat="false" ht="29.25" hidden="false" customHeight="true" outlineLevel="0" collapsed="false">
      <c r="A14" s="6" t="s">
        <v>373</v>
      </c>
      <c r="B14" s="6" t="s">
        <v>348</v>
      </c>
      <c r="C14" s="6" t="s">
        <v>374</v>
      </c>
      <c r="D14" s="6" t="s">
        <v>375</v>
      </c>
      <c r="E14" s="6" t="s">
        <v>350</v>
      </c>
      <c r="F14" s="3"/>
      <c r="G14" s="3"/>
      <c r="H14" s="3"/>
      <c r="I14" s="3"/>
      <c r="J14" s="3"/>
      <c r="K14" s="3"/>
    </row>
    <row r="15" customFormat="false" ht="93" hidden="false" customHeight="true" outlineLevel="0" collapsed="false">
      <c r="A15" s="6" t="s">
        <v>376</v>
      </c>
      <c r="B15" s="6" t="s">
        <v>348</v>
      </c>
      <c r="C15" s="6" t="s">
        <v>406</v>
      </c>
      <c r="D15" s="6" t="s">
        <v>407</v>
      </c>
      <c r="E15" s="6" t="s">
        <v>350</v>
      </c>
      <c r="F15" s="3"/>
      <c r="G15" s="3"/>
      <c r="H15" s="3"/>
      <c r="I15" s="3"/>
      <c r="J15" s="3"/>
      <c r="K15" s="3"/>
    </row>
    <row r="16" customFormat="false" ht="54.75" hidden="false" customHeight="true" outlineLevel="0" collapsed="false">
      <c r="A16" s="6" t="s">
        <v>379</v>
      </c>
      <c r="B16" s="6" t="s">
        <v>348</v>
      </c>
      <c r="C16" s="6" t="s">
        <v>408</v>
      </c>
      <c r="D16" s="6"/>
      <c r="E16" s="6" t="s">
        <v>350</v>
      </c>
      <c r="F16" s="3"/>
      <c r="G16" s="3"/>
      <c r="H16" s="3"/>
      <c r="I16" s="3"/>
      <c r="J16" s="3"/>
      <c r="K16" s="3"/>
    </row>
    <row r="17" customFormat="false" ht="93" hidden="false" customHeight="true" outlineLevel="0" collapsed="false">
      <c r="A17" s="6" t="s">
        <v>381</v>
      </c>
      <c r="B17" s="6" t="s">
        <v>348</v>
      </c>
      <c r="C17" s="6" t="s">
        <v>409</v>
      </c>
      <c r="D17" s="6" t="s">
        <v>410</v>
      </c>
      <c r="E17" s="6" t="s">
        <v>350</v>
      </c>
      <c r="F17" s="3"/>
      <c r="G17" s="3"/>
      <c r="H17" s="3"/>
      <c r="I17" s="3"/>
      <c r="J17" s="3"/>
      <c r="K17" s="3"/>
    </row>
    <row r="18" customFormat="false" ht="29.25" hidden="false" customHeight="true" outlineLevel="0" collapsed="false">
      <c r="A18" s="6" t="s">
        <v>383</v>
      </c>
      <c r="B18" s="6" t="s">
        <v>348</v>
      </c>
      <c r="C18" s="6" t="s">
        <v>411</v>
      </c>
      <c r="D18" s="6"/>
      <c r="E18" s="6" t="s">
        <v>350</v>
      </c>
      <c r="F18" s="3"/>
      <c r="G18" s="3"/>
      <c r="H18" s="3"/>
      <c r="I18" s="3"/>
      <c r="J18" s="3"/>
      <c r="K18" s="3"/>
    </row>
    <row r="19" customFormat="false" ht="80.25" hidden="false" customHeight="true" outlineLevel="0" collapsed="false">
      <c r="A19" s="6" t="s">
        <v>385</v>
      </c>
      <c r="B19" s="6" t="s">
        <v>348</v>
      </c>
      <c r="C19" s="6" t="s">
        <v>412</v>
      </c>
      <c r="D19" s="6" t="s">
        <v>413</v>
      </c>
      <c r="E19" s="6" t="s">
        <v>350</v>
      </c>
      <c r="F19" s="3"/>
      <c r="G19" s="3"/>
      <c r="H19" s="3"/>
      <c r="I19" s="3"/>
      <c r="J19" s="3"/>
      <c r="K19" s="3"/>
    </row>
    <row r="20" customFormat="false" ht="93" hidden="false" customHeight="true" outlineLevel="0" collapsed="false">
      <c r="A20" s="6" t="s">
        <v>388</v>
      </c>
      <c r="B20" s="6" t="s">
        <v>348</v>
      </c>
      <c r="C20" s="6" t="s">
        <v>414</v>
      </c>
      <c r="D20" s="6" t="s">
        <v>415</v>
      </c>
      <c r="E20" s="6" t="s">
        <v>350</v>
      </c>
      <c r="F20" s="3"/>
      <c r="G20" s="3"/>
      <c r="H20" s="3"/>
      <c r="I20" s="3"/>
      <c r="J20" s="3"/>
      <c r="K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</sheetData>
  <mergeCells count="1">
    <mergeCell ref="A1:E1"/>
  </mergeCells>
  <conditionalFormatting sqref="E4:E20">
    <cfRule type="expression" priority="2" aboveAverage="0" equalAverage="0" bottom="0" percent="0" rank="0" text="" dxfId="0">
      <formula>E4="Verde"</formula>
    </cfRule>
    <cfRule type="expression" priority="3" aboveAverage="0" equalAverage="0" bottom="0" percent="0" rank="0" text="" dxfId="1">
      <formula>E4="Amarillo"</formula>
    </cfRule>
    <cfRule type="expression" priority="4" aboveAverage="0" equalAverage="0" bottom="0" percent="0" rank="0" text="" dxfId="2">
      <formula>E4="Rojo"</formula>
    </cfRule>
  </conditionalFormatting>
  <dataValidations count="2">
    <dataValidation allowBlank="false" errorStyle="stop" operator="between" showDropDown="false" showErrorMessage="false" showInputMessage="false" sqref="B4:B20" type="list">
      <formula1>"Sí,No"</formula1>
      <formula2>0</formula2>
    </dataValidation>
    <dataValidation allowBlank="false" errorStyle="stop" operator="between" showDropDown="false" showErrorMessage="false" showInputMessage="false" sqref="E4:E20" type="list">
      <formula1>"Verde,Amarillo,Rojo"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32"/>
    <col collapsed="false" customWidth="true" hidden="false" outlineLevel="0" max="5" min="5" style="1" width="14"/>
  </cols>
  <sheetData>
    <row r="1" customFormat="false" ht="20.25" hidden="false" customHeight="true" outlineLevel="0" collapsed="false">
      <c r="A1" s="2" t="s">
        <v>416</v>
      </c>
      <c r="B1" s="2"/>
      <c r="C1" s="2"/>
      <c r="D1" s="2"/>
      <c r="E1" s="2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4" t="s">
        <v>344</v>
      </c>
      <c r="B3" s="4" t="s">
        <v>345</v>
      </c>
      <c r="C3" s="4" t="s">
        <v>200</v>
      </c>
      <c r="D3" s="4" t="s">
        <v>24</v>
      </c>
      <c r="E3" s="4" t="s">
        <v>346</v>
      </c>
      <c r="F3" s="3"/>
      <c r="G3" s="3"/>
      <c r="H3" s="3"/>
      <c r="I3" s="3"/>
      <c r="J3" s="3"/>
      <c r="K3" s="3"/>
    </row>
    <row r="4" customFormat="false" ht="67.5" hidden="false" customHeight="true" outlineLevel="0" collapsed="false">
      <c r="A4" s="6" t="s">
        <v>347</v>
      </c>
      <c r="B4" s="6" t="s">
        <v>348</v>
      </c>
      <c r="C4" s="6" t="s">
        <v>417</v>
      </c>
      <c r="D4" s="6"/>
      <c r="E4" s="6" t="s">
        <v>350</v>
      </c>
      <c r="F4" s="3"/>
      <c r="G4" s="3"/>
      <c r="H4" s="3"/>
      <c r="I4" s="3"/>
      <c r="J4" s="3"/>
      <c r="K4" s="3"/>
    </row>
    <row r="5" customFormat="false" ht="67.5" hidden="false" customHeight="true" outlineLevel="0" collapsed="false">
      <c r="A5" s="6" t="s">
        <v>351</v>
      </c>
      <c r="B5" s="6" t="s">
        <v>348</v>
      </c>
      <c r="C5" s="6" t="s">
        <v>418</v>
      </c>
      <c r="D5" s="6" t="s">
        <v>419</v>
      </c>
      <c r="E5" s="6" t="s">
        <v>350</v>
      </c>
      <c r="F5" s="3"/>
      <c r="G5" s="3"/>
      <c r="H5" s="3"/>
      <c r="I5" s="3"/>
      <c r="J5" s="3"/>
      <c r="K5" s="3"/>
    </row>
    <row r="6" customFormat="false" ht="42" hidden="false" customHeight="true" outlineLevel="0" collapsed="false">
      <c r="A6" s="6" t="s">
        <v>354</v>
      </c>
      <c r="B6" s="6" t="s">
        <v>348</v>
      </c>
      <c r="C6" s="6" t="s">
        <v>420</v>
      </c>
      <c r="D6" s="6" t="s">
        <v>421</v>
      </c>
      <c r="E6" s="6" t="s">
        <v>350</v>
      </c>
      <c r="F6" s="3"/>
      <c r="G6" s="3"/>
      <c r="H6" s="3"/>
      <c r="I6" s="3"/>
      <c r="J6" s="3"/>
      <c r="K6" s="3"/>
    </row>
    <row r="7" customFormat="false" ht="42" hidden="false" customHeight="true" outlineLevel="0" collapsed="false">
      <c r="A7" s="6" t="s">
        <v>357</v>
      </c>
      <c r="B7" s="6" t="s">
        <v>348</v>
      </c>
      <c r="C7" s="6" t="s">
        <v>422</v>
      </c>
      <c r="D7" s="6" t="s">
        <v>423</v>
      </c>
      <c r="E7" s="6" t="s">
        <v>399</v>
      </c>
      <c r="F7" s="3"/>
      <c r="G7" s="3"/>
      <c r="H7" s="3"/>
      <c r="I7" s="3"/>
      <c r="J7" s="3"/>
      <c r="K7" s="3"/>
    </row>
    <row r="8" customFormat="false" ht="67.5" hidden="false" customHeight="true" outlineLevel="0" collapsed="false">
      <c r="A8" s="6" t="s">
        <v>359</v>
      </c>
      <c r="B8" s="6" t="s">
        <v>348</v>
      </c>
      <c r="C8" s="6" t="s">
        <v>424</v>
      </c>
      <c r="D8" s="6"/>
      <c r="E8" s="6" t="s">
        <v>350</v>
      </c>
      <c r="F8" s="3"/>
      <c r="G8" s="3"/>
      <c r="H8" s="3"/>
      <c r="I8" s="3"/>
      <c r="J8" s="3"/>
      <c r="K8" s="3"/>
    </row>
    <row r="9" customFormat="false" ht="118.5" hidden="false" customHeight="true" outlineLevel="0" collapsed="false">
      <c r="A9" s="6" t="s">
        <v>361</v>
      </c>
      <c r="B9" s="6" t="s">
        <v>348</v>
      </c>
      <c r="C9" s="6" t="s">
        <v>425</v>
      </c>
      <c r="D9" s="6" t="s">
        <v>426</v>
      </c>
      <c r="E9" s="6" t="s">
        <v>350</v>
      </c>
      <c r="F9" s="3"/>
      <c r="G9" s="3"/>
      <c r="H9" s="3"/>
      <c r="I9" s="3"/>
      <c r="J9" s="3"/>
      <c r="K9" s="3"/>
    </row>
    <row r="10" customFormat="false" ht="42" hidden="false" customHeight="true" outlineLevel="0" collapsed="false">
      <c r="A10" s="6" t="s">
        <v>364</v>
      </c>
      <c r="B10" s="6" t="s">
        <v>348</v>
      </c>
      <c r="C10" s="6" t="s">
        <v>427</v>
      </c>
      <c r="D10" s="6"/>
      <c r="E10" s="6" t="s">
        <v>350</v>
      </c>
      <c r="F10" s="3"/>
      <c r="G10" s="3"/>
      <c r="H10" s="3"/>
      <c r="I10" s="3"/>
      <c r="J10" s="3"/>
      <c r="K10" s="3"/>
    </row>
    <row r="11" customFormat="false" ht="29.25" hidden="false" customHeight="true" outlineLevel="0" collapsed="false">
      <c r="A11" s="6" t="s">
        <v>366</v>
      </c>
      <c r="B11" s="6" t="s">
        <v>348</v>
      </c>
      <c r="C11" s="6" t="s">
        <v>428</v>
      </c>
      <c r="D11" s="6"/>
      <c r="E11" s="6" t="s">
        <v>350</v>
      </c>
      <c r="F11" s="3"/>
      <c r="G11" s="3"/>
      <c r="H11" s="3"/>
      <c r="I11" s="3"/>
      <c r="J11" s="3"/>
      <c r="K11" s="3"/>
    </row>
    <row r="12" customFormat="false" ht="54.75" hidden="false" customHeight="true" outlineLevel="0" collapsed="false">
      <c r="A12" s="6" t="s">
        <v>368</v>
      </c>
      <c r="B12" s="6" t="s">
        <v>348</v>
      </c>
      <c r="C12" s="6" t="s">
        <v>429</v>
      </c>
      <c r="D12" s="6"/>
      <c r="E12" s="6" t="s">
        <v>350</v>
      </c>
      <c r="F12" s="3"/>
      <c r="G12" s="3"/>
      <c r="H12" s="3"/>
      <c r="I12" s="3"/>
      <c r="J12" s="3"/>
      <c r="K12" s="3"/>
    </row>
    <row r="13" customFormat="false" ht="42" hidden="false" customHeight="true" outlineLevel="0" collapsed="false">
      <c r="A13" s="6" t="s">
        <v>370</v>
      </c>
      <c r="B13" s="6" t="s">
        <v>348</v>
      </c>
      <c r="C13" s="6" t="s">
        <v>371</v>
      </c>
      <c r="D13" s="6" t="s">
        <v>372</v>
      </c>
      <c r="E13" s="6" t="s">
        <v>350</v>
      </c>
      <c r="F13" s="3"/>
      <c r="G13" s="3"/>
      <c r="H13" s="3"/>
      <c r="I13" s="3"/>
      <c r="J13" s="3"/>
      <c r="K13" s="3"/>
    </row>
    <row r="14" customFormat="false" ht="29.25" hidden="false" customHeight="true" outlineLevel="0" collapsed="false">
      <c r="A14" s="6" t="s">
        <v>373</v>
      </c>
      <c r="B14" s="6" t="s">
        <v>348</v>
      </c>
      <c r="C14" s="6" t="s">
        <v>374</v>
      </c>
      <c r="D14" s="6" t="s">
        <v>375</v>
      </c>
      <c r="E14" s="6" t="s">
        <v>350</v>
      </c>
      <c r="F14" s="3"/>
      <c r="G14" s="3"/>
      <c r="H14" s="3"/>
      <c r="I14" s="3"/>
      <c r="J14" s="3"/>
      <c r="K14" s="3"/>
    </row>
    <row r="15" customFormat="false" ht="80.25" hidden="false" customHeight="true" outlineLevel="0" collapsed="false">
      <c r="A15" s="6" t="s">
        <v>376</v>
      </c>
      <c r="B15" s="6" t="s">
        <v>348</v>
      </c>
      <c r="C15" s="6" t="s">
        <v>430</v>
      </c>
      <c r="D15" s="6" t="s">
        <v>431</v>
      </c>
      <c r="E15" s="6" t="s">
        <v>350</v>
      </c>
      <c r="F15" s="3"/>
      <c r="G15" s="3"/>
      <c r="H15" s="3"/>
      <c r="I15" s="3"/>
      <c r="J15" s="3"/>
      <c r="K15" s="3"/>
    </row>
    <row r="16" customFormat="false" ht="42" hidden="false" customHeight="true" outlineLevel="0" collapsed="false">
      <c r="A16" s="6" t="s">
        <v>379</v>
      </c>
      <c r="B16" s="6" t="s">
        <v>348</v>
      </c>
      <c r="C16" s="6" t="s">
        <v>432</v>
      </c>
      <c r="D16" s="6"/>
      <c r="E16" s="6" t="s">
        <v>350</v>
      </c>
      <c r="F16" s="3"/>
      <c r="G16" s="3"/>
      <c r="H16" s="3"/>
      <c r="I16" s="3"/>
      <c r="J16" s="3"/>
      <c r="K16" s="3"/>
    </row>
    <row r="17" customFormat="false" ht="67.5" hidden="false" customHeight="true" outlineLevel="0" collapsed="false">
      <c r="A17" s="6" t="s">
        <v>381</v>
      </c>
      <c r="B17" s="6" t="s">
        <v>433</v>
      </c>
      <c r="C17" s="6" t="s">
        <v>434</v>
      </c>
      <c r="D17" s="6" t="s">
        <v>435</v>
      </c>
      <c r="E17" s="6" t="s">
        <v>399</v>
      </c>
      <c r="F17" s="3"/>
      <c r="G17" s="3"/>
      <c r="H17" s="3"/>
      <c r="I17" s="3"/>
      <c r="J17" s="3"/>
      <c r="K17" s="3"/>
    </row>
    <row r="18" customFormat="false" ht="29.25" hidden="false" customHeight="true" outlineLevel="0" collapsed="false">
      <c r="A18" s="6" t="s">
        <v>383</v>
      </c>
      <c r="B18" s="6" t="s">
        <v>348</v>
      </c>
      <c r="C18" s="6" t="s">
        <v>436</v>
      </c>
      <c r="D18" s="6"/>
      <c r="E18" s="6" t="s">
        <v>350</v>
      </c>
      <c r="F18" s="3"/>
      <c r="G18" s="3"/>
      <c r="H18" s="3"/>
      <c r="I18" s="3"/>
      <c r="J18" s="3"/>
      <c r="K18" s="3"/>
    </row>
    <row r="19" customFormat="false" ht="67.5" hidden="false" customHeight="true" outlineLevel="0" collapsed="false">
      <c r="A19" s="6" t="s">
        <v>385</v>
      </c>
      <c r="B19" s="6" t="s">
        <v>348</v>
      </c>
      <c r="C19" s="6" t="s">
        <v>437</v>
      </c>
      <c r="D19" s="6" t="s">
        <v>438</v>
      </c>
      <c r="E19" s="6" t="s">
        <v>350</v>
      </c>
      <c r="F19" s="3"/>
      <c r="G19" s="3"/>
      <c r="H19" s="3"/>
      <c r="I19" s="3"/>
      <c r="J19" s="3"/>
      <c r="K19" s="3"/>
    </row>
    <row r="20" customFormat="false" ht="80.25" hidden="false" customHeight="true" outlineLevel="0" collapsed="false">
      <c r="A20" s="6" t="s">
        <v>388</v>
      </c>
      <c r="B20" s="6" t="s">
        <v>348</v>
      </c>
      <c r="C20" s="6" t="s">
        <v>439</v>
      </c>
      <c r="D20" s="6" t="s">
        <v>440</v>
      </c>
      <c r="E20" s="6" t="s">
        <v>350</v>
      </c>
      <c r="F20" s="3"/>
      <c r="G20" s="3"/>
      <c r="H20" s="3"/>
      <c r="I20" s="3"/>
      <c r="J20" s="3"/>
      <c r="K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customFormat="false" ht="1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customFormat="false" ht="1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customFormat="false" ht="1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customFormat="false" ht="1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customFormat="false" ht="1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customFormat="false" ht="1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customFormat="false" ht="1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customFormat="false" ht="1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customFormat="false" ht="1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customFormat="false" ht="1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customFormat="false" ht="1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customFormat="false" ht="1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customFormat="false" ht="1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customFormat="false" ht="1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customFormat="false" ht="1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customFormat="false" ht="1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customFormat="false" ht="1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customFormat="false" ht="1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customFormat="false" ht="1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customFormat="false" ht="1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customFormat="false" ht="1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customFormat="false" ht="1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customFormat="false" ht="1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customFormat="false" ht="1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customFormat="false" ht="1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customFormat="false" ht="1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customFormat="false" ht="1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customFormat="false" ht="1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customFormat="false" ht="1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customFormat="false" ht="1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customFormat="false" ht="1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customFormat="false" ht="1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customFormat="false" ht="1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customFormat="false" ht="1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customFormat="false" ht="1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customFormat="false" ht="1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customFormat="false" ht="1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customFormat="false" ht="1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customFormat="false" ht="1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customFormat="false" ht="1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customFormat="false" ht="1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</sheetData>
  <mergeCells count="1">
    <mergeCell ref="A1:E1"/>
  </mergeCells>
  <conditionalFormatting sqref="E4:E20">
    <cfRule type="expression" priority="2" aboveAverage="0" equalAverage="0" bottom="0" percent="0" rank="0" text="" dxfId="0">
      <formula>E4="Verde"</formula>
    </cfRule>
    <cfRule type="expression" priority="3" aboveAverage="0" equalAverage="0" bottom="0" percent="0" rank="0" text="" dxfId="1">
      <formula>E4="Amarillo"</formula>
    </cfRule>
    <cfRule type="expression" priority="4" aboveAverage="0" equalAverage="0" bottom="0" percent="0" rank="0" text="" dxfId="2">
      <formula>E4="Rojo"</formula>
    </cfRule>
  </conditionalFormatting>
  <dataValidations count="2">
    <dataValidation allowBlank="false" errorStyle="stop" operator="between" showDropDown="false" showErrorMessage="false" showInputMessage="false" sqref="B4:B20" type="list">
      <formula1>"Sí,No"</formula1>
      <formula2>0</formula2>
    </dataValidation>
    <dataValidation allowBlank="false" errorStyle="stop" operator="between" showDropDown="false" showErrorMessage="false" showInputMessage="false" sqref="E4:E20" type="list">
      <formula1>"Verde,Amarillo,Rojo"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2026-10-24T16:26:19Z</dcterms:created>
  <dc:creator>openpyxl</dc:creator>
  <dc:description/>
  <dc:language>en-US</dc:language>
  <cp:lastModifiedBy/>
  <dcterms:modified xsi:type="dcterms:W3CDTF">2026-10-28T07:10:39Z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