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razabilidad" sheetId="2" state="visible" r:id="rId4"/>
    <sheet name="SOLID" sheetId="3" state="visible" r:id="rId5"/>
    <sheet name="TDD" sheetId="4" state="visible" r:id="rId6"/>
    <sheet name="Evidencias" sheetId="5" state="visible" r:id="rId7"/>
    <sheet name="Transferencia_PI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<sst xmlns="http://schemas.openxmlformats.org/spreadsheetml/2006/main" count="996" uniqueCount="726">
  <si>
    <t xml:space="preserve">PiuraVigila · Matriz de trazabilidad y transferencia (Semana 10)</t>
  </si>
  <si>
    <t xml:space="preserve">Indicador</t>
  </si>
  <si>
    <t xml:space="preserve">Valor</t>
  </si>
  <si>
    <t xml:space="preserve">Cadena de trabajo</t>
  </si>
  <si>
    <t xml:space="preserve">Filas trazadas del Proyecto Integrador</t>
  </si>
  <si>
    <t xml:space="preserve">Requisito → Pantalla/entrada → Controller → Service → DAO → Tabla(s) → Prueba → Log/Evidencia</t>
  </si>
  <si>
    <t xml:space="preserve">Pruebas definidas</t>
  </si>
  <si>
    <t xml:space="preserve">Evidencias registradas</t>
  </si>
  <si>
    <t xml:space="preserve">Criterios SOLID revisados</t>
  </si>
  <si>
    <t xml:space="preserve">Estado</t>
  </si>
  <si>
    <t xml:space="preserve">Interpretación</t>
  </si>
  <si>
    <t xml:space="preserve">Acción</t>
  </si>
  <si>
    <t xml:space="preserve">Flujos con estado Verde</t>
  </si>
  <si>
    <t xml:space="preserve">Verde</t>
  </si>
  <si>
    <t xml:space="preserve">Flujo trazable y ejecutable</t>
  </si>
  <si>
    <t xml:space="preserve">Puede integrarse al avance 30 %</t>
  </si>
  <si>
    <t xml:space="preserve">Progreso de transferencia</t>
  </si>
  <si>
    <t xml:space="preserve">Amarillo</t>
  </si>
  <si>
    <t xml:space="preserve">Hay vacíos o acoplamiento</t>
  </si>
  <si>
    <t xml:space="preserve">Corregir antes de seguir</t>
  </si>
  <si>
    <t xml:space="preserve">Rojo</t>
  </si>
  <si>
    <t xml:space="preserve">La evidencia no conecta con el diseño</t>
  </si>
  <si>
    <t xml:space="preserve">Reformular flujo</t>
  </si>
  <si>
    <t xml:space="preserve">Trazado · PiuraVigila</t>
  </si>
  <si>
    <t xml:space="preserve">ID</t>
  </si>
  <si>
    <t xml:space="preserve">Requisito</t>
  </si>
  <si>
    <t xml:space="preserve">Comportamiento</t>
  </si>
  <si>
    <t xml:space="preserve">Controller</t>
  </si>
  <si>
    <t xml:space="preserve">Service</t>
  </si>
  <si>
    <t xml:space="preserve">DAO / componente</t>
  </si>
  <si>
    <t xml:space="preserve">Persistencia</t>
  </si>
  <si>
    <t xml:space="preserve">Evidencia</t>
  </si>
  <si>
    <t xml:space="preserve">Recurso Java</t>
  </si>
  <si>
    <t xml:space="preserve">TR-01</t>
  </si>
  <si>
    <t xml:space="preserve">RF-01</t>
  </si>
  <si>
    <t xml:space="preserve">Registrar reporte</t>
  </si>
  <si>
    <t xml:space="preserve">ReporteController.enviar()</t>
  </si>
  <si>
    <t xml:space="preserve">ReporteService.registrarReporte()</t>
  </si>
  <si>
    <t xml:space="preserve">ReporteDAO.insertarCaso()</t>
  </si>
  <si>
    <t xml:space="preserve">reporte, historial_estado</t>
  </si>
  <si>
    <t xml:space="preserve">T-04 (PV-T02), T-07 (PV-T08); T-09 y T-10 (PV-T36, PV-T37) Por diseñar; rev3: foto real y token CSRF, PV-T46 a PV-T49, PV-T53 y PV-T54</t>
  </si>
  <si>
    <t xml:space="preserve">Spring @Transactional; token CSRF (Csrf); validación de imagen y huella SHA-256 (Guava)</t>
  </si>
  <si>
    <t xml:space="preserve">TR-02</t>
  </si>
  <si>
    <t xml:space="preserve">RF-02</t>
  </si>
  <si>
    <t xml:space="preserve">Consultar estado por código, con línea de tiempo</t>
  </si>
  <si>
    <t xml:space="preserve">ReporteController.consultar()</t>
  </si>
  <si>
    <t xml:space="preserve">ReporteService.consultarEstado()</t>
  </si>
  <si>
    <t xml:space="preserve">ReporteDAO.buscarPorCodigo(); HistorialEstadoDAO.listarPorReporte()</t>
  </si>
  <si>
    <t xml:space="preserve">T-17, T-18 (PV-T15, PV-T16, PV-T44, PV-T45)</t>
  </si>
  <si>
    <t xml:space="preserve">Mensaje genérico si no existe; la línea de tiempo no muestra al responsable del cambio</t>
  </si>
  <si>
    <t xml:space="preserve">TR-03</t>
  </si>
  <si>
    <t xml:space="preserve">RF-03</t>
  </si>
  <si>
    <t xml:space="preserve">Cambiar estado del caso</t>
  </si>
  <si>
    <t xml:space="preserve">PanelController.cambiarEstado()</t>
  </si>
  <si>
    <t xml:space="preserve">ReporteService.cambiarEstado()</t>
  </si>
  <si>
    <t xml:space="preserve">HistorialEstadoDAO.registrar()</t>
  </si>
  <si>
    <t xml:space="preserve">T-11, T-12; T-13 (PV-T39)</t>
  </si>
  <si>
    <t xml:space="preserve">Token CSRF (Csrf)</t>
  </si>
  <si>
    <t xml:space="preserve">TR-04</t>
  </si>
  <si>
    <t xml:space="preserve">RF-04</t>
  </si>
  <si>
    <t xml:space="preserve">Ver zonas críticas y reportes con ubicación (mapa P04)</t>
  </si>
  <si>
    <t xml:space="preserve">PanelController.mapa()</t>
  </si>
  <si>
    <t xml:space="preserve">DashboardService.zonasCriticas(); DashboardService.puntosReportes()</t>
  </si>
  <si>
    <t xml:space="preserve">ReporteDAO.reportesPorZona(); ReporteDAO.puntosPeriodo()</t>
  </si>
  <si>
    <t xml:space="preserve">reporte, zona</t>
  </si>
  <si>
    <t xml:space="preserve">T-21 Por diseñar (SQL real); el mapa con puntos no tiene prueba propia (EV-12, EV-17)</t>
  </si>
  <si>
    <t xml:space="preserve">Thymeleaf mapa.html; Leaflet + OpenStreetMap (mosaicos por internet)</t>
  </si>
  <si>
    <t xml:space="preserve">TR-05</t>
  </si>
  <si>
    <t xml:space="preserve">RF-07</t>
  </si>
  <si>
    <t xml:space="preserve">Habilitar categoría (solo administrador)</t>
  </si>
  <si>
    <t xml:space="preserve">PanelController.habilitarCategoria()</t>
  </si>
  <si>
    <t xml:space="preserve">CategoriaService.habilitar()</t>
  </si>
  <si>
    <t xml:space="preserve">CategoriaDAO.insertar()</t>
  </si>
  <si>
    <t xml:space="preserve">categoria</t>
  </si>
  <si>
    <t xml:space="preserve">T-15, T-16; T-22 (PV-T41)</t>
  </si>
  <si>
    <t xml:space="preserve">UsuarioMunicipal.esAdministrador()</t>
  </si>
  <si>
    <t xml:space="preserve">TR-06</t>
  </si>
  <si>
    <t xml:space="preserve">Exportar zonas a Excel (solo personal municipal)</t>
  </si>
  <si>
    <t xml:space="preserve">ExportacionController.descargar()</t>
  </si>
  <si>
    <t xml:space="preserve">ExportacionService.zonas()</t>
  </si>
  <si>
    <t xml:space="preserve">DashboardService.zonasCriticas(); ReporteDAO.reportesPorZona()</t>
  </si>
  <si>
    <t xml:space="preserve">PV-T50 a PV-T52 y PV-T55 (MockMvc y Apache POI)</t>
  </si>
  <si>
    <t xml:space="preserve">Apache POI; Cache-Control no-store; solo conteos por zona</t>
  </si>
  <si>
    <t xml:space="preserve">SOLID aplicado a PiuraVigila</t>
  </si>
  <si>
    <t xml:space="preserve">Principio</t>
  </si>
  <si>
    <t xml:space="preserve">Pregunta de revisión</t>
  </si>
  <si>
    <t xml:space="preserve">Evidencia PiuraVigila</t>
  </si>
  <si>
    <t xml:space="preserve">Riesgo si falla</t>
  </si>
  <si>
    <t xml:space="preserve">¿Cumple?</t>
  </si>
  <si>
    <t xml:space="preserve">Observación del grupo</t>
  </si>
  <si>
    <t xml:space="preserve">SRP</t>
  </si>
  <si>
    <t xml:space="preserve">¿Cada clase tiene una responsabilidad reconocible?</t>
  </si>
  <si>
    <t xml:space="preserve">View / Controller / Service / DAO separados (hoja Componentes de la Semana 9 rev4)</t>
  </si>
  <si>
    <t xml:space="preserve">SQL o reglas mezcladas</t>
  </si>
  <si>
    <t xml:space="preserve">Sí</t>
  </si>
  <si>
    <t xml:space="preserve">Cada capa tiene una función: Controller recibe/responde, Service decide, DAO guarda, ValidadorReporte y ControlAntiSpam validan por separado. Observación: ReporteService reúne 5 casos de uso (registrar, vincular, consultar, cambiar estado, listar panel); si crece, separarlo.</t>
  </si>
  <si>
    <t xml:space="preserve">OCP</t>
  </si>
  <si>
    <t xml:space="preserve">¿Puedo sustituir persistencia sin reescribir Service?</t>
  </si>
  <si>
    <t xml:space="preserve">Interfaces DAO, FotoStorage y HashContrasena</t>
  </si>
  <si>
    <t xml:space="preserve">Service rígido</t>
  </si>
  <si>
    <t xml:space="preserve">Una nueva categoría se agrega con datos (RF-07), no con código. Cambiar el almacenamiento de fotos solo requiere otra implementación de FotoStorage. En rev3 la exportación a Excel se agregó como ExportacionService, sin modificar DashboardService.</t>
  </si>
  <si>
    <t xml:space="preserve">LSP</t>
  </si>
  <si>
    <t xml:space="preserve">¿Un fake DAO puede reemplazar al DAO JDBC?</t>
  </si>
  <si>
    <t xml:space="preserve">Pruebas con DAO simulados</t>
  </si>
  <si>
    <t xml:space="preserve">contratos inconsistentes</t>
  </si>
  <si>
    <t xml:space="preserve">Parcial</t>
  </si>
  <si>
    <t xml:space="preserve">Los DAO simulados sustituyen sin problema a los DAO en las pruebas (40 de service con dependencias simuladas, dentro de las 54 de mvn test real, EV-21). Falta comprobar que los DAO JDBC cumplen el mismo contrato contra PostgreSQL (PV-T36 a PV-T38 y PV-T40 Por diseñar; T-09, T-10 y T-19 a T-21 de la Semana 9). Sigue Parcial mientras no se ejecuten.</t>
  </si>
  <si>
    <t xml:space="preserve">ISP</t>
  </si>
  <si>
    <t xml:space="preserve">¿Las interfaces son pequeñas y específicas?</t>
  </si>
  <si>
    <t xml:space="preserve">5 interfaces DAO; ReporteDAO con 16 métodos</t>
  </si>
  <si>
    <t xml:space="preserve">MegaDAO</t>
  </si>
  <si>
    <t xml:space="preserve">ReporteDAO tiene 16 métodos, incluidos los del dashboard (puntosPeriodo se añadió en rev2 como método default para no obligar a los DAO simulados); se podría separar en ReporteDAO y ReporteConsultasDAO para que DashboardService no dependa de métodos que no usa. Sigue Parcial mientras ReporteDAO tenga 16 métodos.</t>
  </si>
  <si>
    <t xml:space="preserve">DIP</t>
  </si>
  <si>
    <t xml:space="preserve">¿Service depende de abstracciones?</t>
  </si>
  <si>
    <t xml:space="preserve">Los Service reciben interfaces por constructor</t>
  </si>
  <si>
    <t xml:space="preserve">acoplamiento directo a JDBC</t>
  </si>
  <si>
    <t xml:space="preserve">Los Service reciben interfaces DAO, FotoStorage, HashContrasena y Clock por constructor (inyección de Spring); las pruebas los reemplazan por simulados.</t>
  </si>
  <si>
    <t xml:space="preserve">TDD · PiuraVigila: pruebas de la Semana 9 rev2 (T-01 a T-24) y pruebas adicionales del código v0.8</t>
  </si>
  <si>
    <t xml:space="preserve">Dado</t>
  </si>
  <si>
    <t xml:space="preserve">Cuando</t>
  </si>
  <si>
    <t xml:space="preserve">Entonces</t>
  </si>
  <si>
    <t xml:space="preserve">Unidad</t>
  </si>
  <si>
    <t xml:space="preserve">Dependencia a aislar</t>
  </si>
  <si>
    <t xml:space="preserve">Evidencia / equivalente en código v0.8</t>
  </si>
  <si>
    <t xml:space="preserve">T-01</t>
  </si>
  <si>
    <t xml:space="preserve">No permitir otro reporte antes de 60 s</t>
  </si>
  <si>
    <t xml:space="preserve">un dispositivo cuyo último reporte fue hace 30 s</t>
  </si>
  <si>
    <t xml:space="preserve">envía otro reporte</t>
  </si>
  <si>
    <t xml:space="preserve">el control rechaza con el tiempo de espera</t>
  </si>
  <si>
    <t xml:space="preserve">ControlAntiSpam</t>
  </si>
  <si>
    <t xml:space="preserve">ReporteDAO (ultimoEnvio)</t>
  </si>
  <si>
    <t xml:space="preserve">PV-T19, PV-T20 · ControlAntiSpamTest · arnés</t>
  </si>
  <si>
    <t xml:space="preserve">T-02</t>
  </si>
  <si>
    <t xml:space="preserve">No permitir el cuarto reporte del día</t>
  </si>
  <si>
    <t xml:space="preserve">un dispositivo con 3 reportes hoy (vinculados incluidos)</t>
  </si>
  <si>
    <t xml:space="preserve">el control rechaza por límite diario</t>
  </si>
  <si>
    <t xml:space="preserve">ReporteDAO (contarEnDia)</t>
  </si>
  <si>
    <t xml:space="preserve">PV-T21, PV-T22 · ControlAntiSpamTest · arnés</t>
  </si>
  <si>
    <t xml:space="preserve">T-03</t>
  </si>
  <si>
    <t xml:space="preserve">Rechazar una verificación incorrecta</t>
  </si>
  <si>
    <t xml:space="preserve">una respuesta de suma distinta de la esperada</t>
  </si>
  <si>
    <t xml:space="preserve">se envía el formulario</t>
  </si>
  <si>
    <t xml:space="preserve">el control rechaza y pide otra suma</t>
  </si>
  <si>
    <t xml:space="preserve">Generador de la suma (valor fijo en la prueba)</t>
  </si>
  <si>
    <t xml:space="preserve">PV-T17, PV-T18 · ControlAntiSpamTest · arnés</t>
  </si>
  <si>
    <t xml:space="preserve">T-04</t>
  </si>
  <si>
    <t xml:space="preserve">Rechazar una foto de más de 2 MB</t>
  </si>
  <si>
    <t xml:space="preserve">una foto de 3 MB</t>
  </si>
  <si>
    <t xml:space="preserve">se valida el formulario</t>
  </si>
  <si>
    <t xml:space="preserve">el validador devuelve el error de tamaño</t>
  </si>
  <si>
    <t xml:space="preserve">ValidadorReporte</t>
  </si>
  <si>
    <t xml:space="preserve">Ninguna</t>
  </si>
  <si>
    <t xml:space="preserve">PV-T02, PV-T03, PV-T23, PV-T24 (y PV-T25 como adicional) · ReporteServiceTest, OtrosServiciosTest · arnés</t>
  </si>
  <si>
    <t xml:space="preserve">T-05</t>
  </si>
  <si>
    <t xml:space="preserve">Avisar de un posible duplicado</t>
  </si>
  <si>
    <t xml:space="preserve">un caso en Recibido con la misma categoría y zona</t>
  </si>
  <si>
    <t xml:space="preserve">se registra un reporte nuevo</t>
  </si>
  <si>
    <t xml:space="preserve">el servicio devuelve DUPLICADO_PENDIENTE con ese caso</t>
  </si>
  <si>
    <t xml:space="preserve">ReporteService</t>
  </si>
  <si>
    <t xml:space="preserve">ReporteDAO, ControlAntiSpam</t>
  </si>
  <si>
    <t xml:space="preserve">PV-T04, PV-T05 · ReporteServiceTest · arnés</t>
  </si>
  <si>
    <t xml:space="preserve">T-06</t>
  </si>
  <si>
    <t xml:space="preserve">Vincular el reporte cuando el ciudadano confirma</t>
  </si>
  <si>
    <t xml:space="preserve">un duplicado pendiente</t>
  </si>
  <si>
    <t xml:space="preserve">el ciudadano responde «sí, es el mismo»</t>
  </si>
  <si>
    <t xml:space="preserve">se guarda el vínculo sin código nuevo</t>
  </si>
  <si>
    <t xml:space="preserve">ReporteDAO</t>
  </si>
  <si>
    <t xml:space="preserve">PV-T07, PV-T10, PV-T11 · ReporteServiceTest · arnés</t>
  </si>
  <si>
    <t xml:space="preserve">T-07</t>
  </si>
  <si>
    <t xml:space="preserve">Registrar caso nuevo si responde «es otro»</t>
  </si>
  <si>
    <t xml:space="preserve">el ciudadano responde «no, es otro»</t>
  </si>
  <si>
    <t xml:space="preserve">se crea un caso nuevo en Recibido</t>
  </si>
  <si>
    <t xml:space="preserve">ReporteDAO, HistorialEstadoDAO</t>
  </si>
  <si>
    <t xml:space="preserve">PV-T08 · ReporteServiceTest · arnés</t>
  </si>
  <si>
    <t xml:space="preserve">T-08</t>
  </si>
  <si>
    <t xml:space="preserve">No vincular a un caso Atendido</t>
  </si>
  <si>
    <t xml:space="preserve">el único caso de esa categoría y zona está Atendido</t>
  </si>
  <si>
    <t xml:space="preserve">se crea un caso nuevo sin aviso</t>
  </si>
  <si>
    <t xml:space="preserve">ReporteDAO (buscarCasoAbierto devuelve vacío)</t>
  </si>
  <si>
    <t xml:space="preserve">PV-T06, PV-T09 · ReporteServiceTest · arnés</t>
  </si>
  <si>
    <t xml:space="preserve">T-09</t>
  </si>
  <si>
    <t xml:space="preserve">Generar el código con formato PR-AAAA-####</t>
  </si>
  <si>
    <t xml:space="preserve">una base de datos de prueba vacía</t>
  </si>
  <si>
    <t xml:space="preserve">se registra un caso</t>
  </si>
  <si>
    <t xml:space="preserve">el caso recibe un código con ese formato</t>
  </si>
  <si>
    <t xml:space="preserve">Base de datos de prueba</t>
  </si>
  <si>
    <t xml:space="preserve">Por diseñar</t>
  </si>
  <si>
    <t xml:space="preserve">PV-T36 · Por diseñar (requiere PostgreSQL); PV-T01 solo con DAO simulado (Verde, arnés)</t>
  </si>
  <si>
    <t xml:space="preserve">T-10</t>
  </si>
  <si>
    <t xml:space="preserve">No repetir códigos con envíos simultáneos</t>
  </si>
  <si>
    <t xml:space="preserve">100 envíos simultáneos de dispositivos distintos</t>
  </si>
  <si>
    <t xml:space="preserve">se registran a la vez</t>
  </si>
  <si>
    <t xml:space="preserve">los códigos son todos distintos y no se pierde ninguno</t>
  </si>
  <si>
    <t xml:space="preserve">PV-T37 · Por diseñar (requiere PostgreSQL)</t>
  </si>
  <si>
    <t xml:space="preserve">T-11</t>
  </si>
  <si>
    <t xml:space="preserve">No retroceder el estado de un caso</t>
  </si>
  <si>
    <t xml:space="preserve">un caso Atendido</t>
  </si>
  <si>
    <t xml:space="preserve">se pide pasarlo a En proceso</t>
  </si>
  <si>
    <t xml:space="preserve">el servicio rechaza el cambio</t>
  </si>
  <si>
    <t xml:space="preserve">HistorialEstadoDAO</t>
  </si>
  <si>
    <t xml:space="preserve">PV-T13, PV-T14 · ReporteServiceTest · arnés</t>
  </si>
  <si>
    <t xml:space="preserve">T-12</t>
  </si>
  <si>
    <t xml:space="preserve">Registrar historial con responsable</t>
  </si>
  <si>
    <t xml:space="preserve">un caso Recibido y un operador autenticado</t>
  </si>
  <si>
    <t xml:space="preserve">cambia el estado a En proceso</t>
  </si>
  <si>
    <t xml:space="preserve">se guarda un historial con fecha y usuario</t>
  </si>
  <si>
    <t xml:space="preserve">PV-T12 · ReporteServiceTest · arnés</t>
  </si>
  <si>
    <t xml:space="preserve">T-13</t>
  </si>
  <si>
    <t xml:space="preserve">Negar el listado sin sesión</t>
  </si>
  <si>
    <t xml:space="preserve">una petición sin sesión iniciada</t>
  </si>
  <si>
    <t xml:space="preserve">se pide el listado de casos</t>
  </si>
  <si>
    <t xml:space="preserve">el controlador deniega el acceso</t>
  </si>
  <si>
    <t xml:space="preserve">PanelController</t>
  </si>
  <si>
    <t xml:space="preserve">AuthService, HttpSession</t>
  </si>
  <si>
    <t xml:space="preserve">PV-T39 · PanelControllerTest (MockMvc) · mvn test real (23/10/2026): 41 pruebas, 0 fallos (EV-03)</t>
  </si>
  <si>
    <t xml:space="preserve">T-14</t>
  </si>
  <si>
    <t xml:space="preserve">Autenticar con la contraseña hasheada</t>
  </si>
  <si>
    <t xml:space="preserve">un usuario con contrasena_hash guardado</t>
  </si>
  <si>
    <t xml:space="preserve">ingresa contraseña correcta o incorrecta</t>
  </si>
  <si>
    <t xml:space="preserve">entra o recibe un mensaje genérico</t>
  </si>
  <si>
    <t xml:space="preserve">AuthService</t>
  </si>
  <si>
    <t xml:space="preserve">UsuarioMunicipalDAO</t>
  </si>
  <si>
    <t xml:space="preserve">PV-T30 · OtrosServiciosTest · arnés</t>
  </si>
  <si>
    <t xml:space="preserve">T-15</t>
  </si>
  <si>
    <t xml:space="preserve">Detectar que «Otra» supera el umbral</t>
  </si>
  <si>
    <t xml:space="preserve">12 de 100 reportes del mes en «Otra»</t>
  </si>
  <si>
    <t xml:space="preserve">se evalúa el umbral</t>
  </si>
  <si>
    <t xml:space="preserve">el servicio indica que se superó el 10 %</t>
  </si>
  <si>
    <t xml:space="preserve">CategoriaService</t>
  </si>
  <si>
    <t xml:space="preserve">CategoriaDAO (porcentajeOtraMes)</t>
  </si>
  <si>
    <t xml:space="preserve">PV-T29 · OtrosServiciosTest · arnés</t>
  </si>
  <si>
    <t xml:space="preserve">T-16</t>
  </si>
  <si>
    <t xml:space="preserve">Rechazar una categoría repetida</t>
  </si>
  <si>
    <t xml:space="preserve">la categoría «Bache en la vía» ya existe</t>
  </si>
  <si>
    <t xml:space="preserve">se intenta registrar «bache en la vía»</t>
  </si>
  <si>
    <t xml:space="preserve">el servicio rechaza el nombre repetido</t>
  </si>
  <si>
    <t xml:space="preserve">CategoriaDAO (existeNombre)</t>
  </si>
  <si>
    <t xml:space="preserve">PV-T27 · OtrosServiciosTest · arnés</t>
  </si>
  <si>
    <t xml:space="preserve">T-17</t>
  </si>
  <si>
    <t xml:space="preserve">Mostrar estado y última actualización por código</t>
  </si>
  <si>
    <t xml:space="preserve">un caso con dos cambios de estado</t>
  </si>
  <si>
    <t xml:space="preserve">se consulta su código</t>
  </si>
  <si>
    <t xml:space="preserve">se devuelve categoría, estado, fecha de registro y última actualización</t>
  </si>
  <si>
    <t xml:space="preserve">PV-T15 · ReporteServiceTest · arnés</t>
  </si>
  <si>
    <t xml:space="preserve">T-18</t>
  </si>
  <si>
    <t xml:space="preserve">Informar un código inexistente</t>
  </si>
  <si>
    <t xml:space="preserve">un código que no existe</t>
  </si>
  <si>
    <t xml:space="preserve">se consulta</t>
  </si>
  <si>
    <t xml:space="preserve">se devuelve «Código no encontrado»</t>
  </si>
  <si>
    <t xml:space="preserve">PV-T16 · ReporteServiceTest · arnés</t>
  </si>
  <si>
    <t xml:space="preserve">T-19</t>
  </si>
  <si>
    <t xml:space="preserve">Listar solo casos y 20 por página</t>
  </si>
  <si>
    <t xml:space="preserve">45 casos y varios reportes vinculados</t>
  </si>
  <si>
    <t xml:space="preserve">se pide la página 1</t>
  </si>
  <si>
    <t xml:space="preserve">se devuelven 20 casos y ningún vinculado</t>
  </si>
  <si>
    <t xml:space="preserve">T-19 sin prueba PV propia (PV-T38 cubre buscarCasoAbierto()) · Por diseñar (requiere PostgreSQL)</t>
  </si>
  <si>
    <t xml:space="preserve">T-20</t>
  </si>
  <si>
    <t xml:space="preserve">Calcular tiempos solo con casos Atendidos</t>
  </si>
  <si>
    <t xml:space="preserve">casos Atendidos, abiertos y vinculados</t>
  </si>
  <si>
    <t xml:space="preserve">se calcula el tiempo de atención</t>
  </si>
  <si>
    <t xml:space="preserve">solo cuentan los casos Atendidos</t>
  </si>
  <si>
    <t xml:space="preserve">DashboardService</t>
  </si>
  <si>
    <t xml:space="preserve">PV-T40 · Por diseñar (SQL real); PV-T32 cubre R03 (Verde, arnés)</t>
  </si>
  <si>
    <t xml:space="preserve">T-21</t>
  </si>
  <si>
    <t xml:space="preserve">Contar los vinculados en las zonas críticas</t>
  </si>
  <si>
    <t xml:space="preserve">una zona con 2 casos y 3 reportes vinculados</t>
  </si>
  <si>
    <t xml:space="preserve">se calcula R01</t>
  </si>
  <si>
    <t xml:space="preserve">la zona suma 5 reportes</t>
  </si>
  <si>
    <t xml:space="preserve">ReporteDAO (reportesPorZona)</t>
  </si>
  <si>
    <t xml:space="preserve">PV-T40 · Por diseñar (SQL real)</t>
  </si>
  <si>
    <t xml:space="preserve">T-22</t>
  </si>
  <si>
    <t xml:space="preserve">Negar la categoría nueva a un operador</t>
  </si>
  <si>
    <t xml:space="preserve">un operador autenticado</t>
  </si>
  <si>
    <t xml:space="preserve">intenta habilitar una categoría</t>
  </si>
  <si>
    <t xml:space="preserve">el controlador deniega el permiso</t>
  </si>
  <si>
    <t xml:space="preserve">HttpSession, CategoriaService</t>
  </si>
  <si>
    <t xml:space="preserve">PV-T41 · PanelControllerTest (MockMvc) · mvn test real (23/10/2026): 41 pruebas, 0 fallos (EV-03)</t>
  </si>
  <si>
    <t xml:space="preserve">T-23</t>
  </si>
  <si>
    <t xml:space="preserve">Deshacer el caso si falla el historial</t>
  </si>
  <si>
    <t xml:space="preserve">el registro del historial lanza un error</t>
  </si>
  <si>
    <t xml:space="preserve">se registra un caso nuevo</t>
  </si>
  <si>
    <t xml:space="preserve">no queda guardado el caso y se informa un error controlado</t>
  </si>
  <si>
    <t xml:space="preserve">ReporteDAO, HistorialEstadoDAO (@Transactional)</t>
  </si>
  <si>
    <t xml:space="preserve">Sin prueba: depende de @Transactional real (integración con Spring y PostgreSQL)</t>
  </si>
  <si>
    <t xml:space="preserve">T-24</t>
  </si>
  <si>
    <t xml:space="preserve">Mostrar los tiempos de atención solo al administrador</t>
  </si>
  <si>
    <t xml:space="preserve">pide el R02 (tiempos de atención)</t>
  </si>
  <si>
    <t xml:space="preserve">HttpSession, DashboardService</t>
  </si>
  <si>
    <t xml:space="preserve">PV-T42 · PanelControllerTest (MockMvc) · mvn test real (23/10/2026): 41 pruebas, 0 fallos (EV-03)</t>
  </si>
  <si>
    <t xml:space="preserve">Pruebas adicionales del código v0.8 (PV-T25 a PV-T42): no figuran como T-xx en la Semana 9 o amplían una T-xx</t>
  </si>
  <si>
    <t xml:space="preserve">PV-T25</t>
  </si>
  <si>
    <t xml:space="preserve">Descripción de 301 caracteres se rechaza</t>
  </si>
  <si>
    <t xml:space="preserve">Descripción de 301 caracteres (columna VARCHAR 300)</t>
  </si>
  <si>
    <t xml:space="preserve">validar()</t>
  </si>
  <si>
    <t xml:space="preserve">No permitido</t>
  </si>
  <si>
    <t xml:space="preserve">evidencias/ejecucion_pruebas_arnes.txt</t>
  </si>
  <si>
    <t xml:space="preserve">PV-T26</t>
  </si>
  <si>
    <t xml:space="preserve">Habilitar categoría nueva</t>
  </si>
  <si>
    <t xml:space="preserve">Nombre «  Poste   caído »</t>
  </si>
  <si>
    <t xml:space="preserve">habilitar()</t>
  </si>
  <si>
    <t xml:space="preserve">Se guarda «Poste caído» (espacios normalizados)</t>
  </si>
  <si>
    <t xml:space="preserve">CategoriaDAO simulado</t>
  </si>
  <si>
    <t xml:space="preserve">PV-T27</t>
  </si>
  <si>
    <t xml:space="preserve">No crear una categoría existente</t>
  </si>
  <si>
    <t xml:space="preserve">Nombre «otra» (ya existe)</t>
  </si>
  <si>
    <t xml:space="preserve">IllegalStateException</t>
  </si>
  <si>
    <t xml:space="preserve">PV-T28</t>
  </si>
  <si>
    <t xml:space="preserve">Rechazar nombre de categoría vacío</t>
  </si>
  <si>
    <t xml:space="preserve">Nombre en blanco</t>
  </si>
  <si>
    <t xml:space="preserve">IllegalArgumentException</t>
  </si>
  <si>
    <t xml:space="preserve">PV-T29</t>
  </si>
  <si>
    <t xml:space="preserve">Umbral «Otra» solo se supera por encima de 10 %</t>
  </si>
  <si>
    <t xml:space="preserve">10,0 % y 10,1 %</t>
  </si>
  <si>
    <t xml:space="preserve">umbralOtraSuperado()</t>
  </si>
  <si>
    <t xml:space="preserve">false con 10,0; true con 10,1</t>
  </si>
  <si>
    <t xml:space="preserve">PV-T30</t>
  </si>
  <si>
    <t xml:space="preserve">Autenticación del personal</t>
  </si>
  <si>
    <t xml:space="preserve">Usuario correcto, contraseña errónea, usuario inexistente y vacío</t>
  </si>
  <si>
    <t xml:space="preserve">autenticar()</t>
  </si>
  <si>
    <t xml:space="preserve">Solo entra con credenciales correctas</t>
  </si>
  <si>
    <t xml:space="preserve">UsuarioMunicipalDAO y HashContrasena simulados</t>
  </si>
  <si>
    <t xml:space="preserve">PV-T31</t>
  </si>
  <si>
    <t xml:space="preserve">Periodo del dashboard invertido</t>
  </si>
  <si>
    <t xml:space="preserve">desde posterior a hasta</t>
  </si>
  <si>
    <t xml:space="preserve">zonasCriticas()</t>
  </si>
  <si>
    <t xml:space="preserve">DAO simulados</t>
  </si>
  <si>
    <t xml:space="preserve">PV-T32</t>
  </si>
  <si>
    <t xml:space="preserve">Resumen completa estados en cero y marca umbral</t>
  </si>
  <si>
    <t xml:space="preserve">Solo casos Recibido; «Otra» 12,5 %</t>
  </si>
  <si>
    <t xml:space="preserve">resumenGestion()</t>
  </si>
  <si>
    <t xml:space="preserve">Estados en 0 completos; superaUmbral = true</t>
  </si>
  <si>
    <t xml:space="preserve">PV-T33</t>
  </si>
  <si>
    <t xml:space="preserve">Foto: extensión no permitida</t>
  </si>
  <si>
    <t xml:space="preserve">virus.exe o nombre null</t>
  </si>
  <si>
    <t xml:space="preserve">guardar()</t>
  </si>
  <si>
    <t xml:space="preserve">FotoStorageDisco</t>
  </si>
  <si>
    <t xml:space="preserve">Directorio temporal</t>
  </si>
  <si>
    <t xml:space="preserve">PV-T34</t>
  </si>
  <si>
    <t xml:space="preserve">Foto: nombre aleatorio y extensión en minúscula</t>
  </si>
  <si>
    <t xml:space="preserve">MiFoto.JPG</t>
  </si>
  <si>
    <t xml:space="preserve">Ruta fotos/&lt;uuid&gt;.jpg; no contiene el nombre original</t>
  </si>
  <si>
    <t xml:space="preserve">PV-T35</t>
  </si>
  <si>
    <t xml:space="preserve">Foto: nombre con ../ no escapa del directorio</t>
  </si>
  <si>
    <t xml:space="preserve">../../escape.png</t>
  </si>
  <si>
    <t xml:space="preserve">Archivo dentro del directorio configurado</t>
  </si>
  <si>
    <t xml:space="preserve">PV-T36</t>
  </si>
  <si>
    <t xml:space="preserve">DAO real: insertarCaso genera PR-AAAA-#### con la secuencia</t>
  </si>
  <si>
    <t xml:space="preserve">BD con 01_schema.sql y 02_seed.sql</t>
  </si>
  <si>
    <t xml:space="preserve">ReporteDAOJdbc.insertarCaso()</t>
  </si>
  <si>
    <t xml:space="preserve">Código con formato correcto y fila en reporte</t>
  </si>
  <si>
    <t xml:space="preserve">ReporteDAOJdbc</t>
  </si>
  <si>
    <t xml:space="preserve">PostgreSQL de prueba</t>
  </si>
  <si>
    <t xml:space="preserve">Sin ejecutar</t>
  </si>
  <si>
    <t xml:space="preserve">PV-T37</t>
  </si>
  <si>
    <t xml:space="preserve">Concurrencia: dos envíos a la vez no repiten código (RNF-03)</t>
  </si>
  <si>
    <t xml:space="preserve">Dos hilos registrando casos</t>
  </si>
  <si>
    <t xml:space="preserve">insertarCaso() simultáneo</t>
  </si>
  <si>
    <t xml:space="preserve">Códigos distintos y sin pérdida</t>
  </si>
  <si>
    <t xml:space="preserve">PV-T38</t>
  </si>
  <si>
    <t xml:space="preserve">DAO real: buscarCasoAbierto respeta estado y reporte original</t>
  </si>
  <si>
    <t xml:space="preserve">Casos Recibido, En proceso, Atendido y vinculados</t>
  </si>
  <si>
    <t xml:space="preserve">buscarCasoAbierto()</t>
  </si>
  <si>
    <t xml:space="preserve">Solo devuelve casos originales abiertos</t>
  </si>
  <si>
    <t xml:space="preserve">PV-T39</t>
  </si>
  <si>
    <t xml:space="preserve">Panel sin sesión redirige a login y rechaza POST sin token CSRF</t>
  </si>
  <si>
    <t xml:space="preserve">Petición sin sesión; o POST con sesión pero sin _csrf o con token distinto</t>
  </si>
  <si>
    <t xml:space="preserve">GET /panel, POST /panel/estado</t>
  </si>
  <si>
    <t xml:space="preserve">Redirección a /login?requerida (sin consultar servicios) o mensaje «Solicitud no válida» y sin cambiar el estado</t>
  </si>
  <si>
    <t xml:space="preserve">ReporteService, CategoriaService, DashboardService (Mockito); MockMvc standalone</t>
  </si>
  <si>
    <t xml:space="preserve">PanelControllerTest (3 métodos) · mvn test real (23/10/2026): 41 pruebas, 0 fallos (EV-03)</t>
  </si>
  <si>
    <t xml:space="preserve">PV-T40</t>
  </si>
  <si>
    <t xml:space="preserve">Consultas R01 a R03 devuelven los valores esperados</t>
  </si>
  <si>
    <t xml:space="preserve">Datos de prueba conocidos en BD</t>
  </si>
  <si>
    <t xml:space="preserve">reportesPorZona(), tiempoPromedio(), casosPorEstado()</t>
  </si>
  <si>
    <t xml:space="preserve">Conteos y promedios iguales a lo calculado a mano</t>
  </si>
  <si>
    <t xml:space="preserve">ReporteDAOJdbc, HistorialEstadoDAOJdbc</t>
  </si>
  <si>
    <t xml:space="preserve">PV-T41</t>
  </si>
  <si>
    <t xml:space="preserve">El operador no puede habilitar categorías (el administrador sí)</t>
  </si>
  <si>
    <t xml:space="preserve">Sesión de operador con token CSRF válido; luego sesión de administrador</t>
  </si>
  <si>
    <t xml:space="preserve">POST /panel/categoria</t>
  </si>
  <si>
    <t xml:space="preserve">Operador: mensaje «Solo el administrador puede habilitar categorías» y CategoriaService no se invoca. Administrador: se invoca habilitar()</t>
  </si>
  <si>
    <t xml:space="preserve">CategoriaService (Mockito); MockMvc standalone</t>
  </si>
  <si>
    <t xml:space="preserve">PanelControllerTest (2 métodos) · mvn test real (23/10/2026): 41 pruebas, 0 fallos (EV-03)</t>
  </si>
  <si>
    <t xml:space="preserve">PV-T42</t>
  </si>
  <si>
    <t xml:space="preserve">R02 (tiempos de atención) no se entrega al operador</t>
  </si>
  <si>
    <t xml:space="preserve">Sesión de operador</t>
  </si>
  <si>
    <t xml:space="preserve">GET /panel?resumen=true</t>
  </si>
  <si>
    <t xml:space="preserve">El resumen se arma con R01 y R03; el modelo no trae r02 y DashboardService.tiemposAtencion() no se invoca</t>
  </si>
  <si>
    <t xml:space="preserve">DashboardService, ReporteService, CategoriaService (Mockito); MockMvc standalone</t>
  </si>
  <si>
    <t xml:space="preserve">PanelControllerTest (1 método) · mvn test real (23/10/2026): 41 pruebas, 0 fallos (EV-03)</t>
  </si>
  <si>
    <t xml:space="preserve">PV-T43</t>
  </si>
  <si>
    <t xml:space="preserve">Iniciar sesión funciona aunque no exista una sesión previa</t>
  </si>
  <si>
    <t xml:space="preserve">Un navegador sin sesión (por ejemplo tras cerrar sesión) y credenciales válidas</t>
  </si>
  <si>
    <t xml:space="preserve">POST /login</t>
  </si>
  <si>
    <t xml:space="preserve">Redirige a /panel y guarda el usuario en la sesión nueva</t>
  </si>
  <si>
    <t xml:space="preserve">AuthService (Mockito); MockMvc standalone</t>
  </si>
  <si>
    <t xml:space="preserve">PanelControllerTest (1 método) · mvn test final 24/10/2026: 42 pruebas, 0 fallos (EV-14)</t>
  </si>
  <si>
    <t xml:space="preserve">PV-T44</t>
  </si>
  <si>
    <t xml:space="preserve">La consulta de estado muestra los tres pasos y solo los alcanzados llevan fecha</t>
  </si>
  <si>
    <t xml:space="preserve">Un caso registrado que luego pasa a «En proceso»</t>
  </si>
  <si>
    <t xml:space="preserve">Se consulta su código</t>
  </si>
  <si>
    <t xml:space="preserve">Devuelve 3 pasos (Recibido, En proceso, Atendido): Recibido y En proceso con fecha, En proceso como estado actual y Atendido pendiente (sin fecha)</t>
  </si>
  <si>
    <t xml:space="preserve">DAO simulados y reloj fijo</t>
  </si>
  <si>
    <t xml:space="preserve">ReporteServiceTest (1 método) · mvn test final 25/10/2026: 44 pruebas, 0 fallos (EV-16)</t>
  </si>
  <si>
    <t xml:space="preserve">PV-T45</t>
  </si>
  <si>
    <t xml:space="preserve">Un caso sin historial usa su fecha de registro como «Recibido»</t>
  </si>
  <si>
    <t xml:space="preserve">Un caso guardado sin filas en el historial de estados</t>
  </si>
  <si>
    <t xml:space="preserve">El primer paso toma la fecha de registro del caso y es el estado actual; el siguiente paso queda pendiente</t>
  </si>
  <si>
    <t xml:space="preserve">PV-T46</t>
  </si>
  <si>
    <t xml:space="preserve">Se rechaza un archivo que no es una imagen aunque se llame foto.png</t>
  </si>
  <si>
    <t xml:space="preserve">Un archivo de texto renombrado como foto.png</t>
  </si>
  <si>
    <t xml:space="preserve">Se intenta guardar como foto</t>
  </si>
  <si>
    <t xml:space="preserve">Se rechaza y no queda guardado en el disco</t>
  </si>
  <si>
    <t xml:space="preserve">FotoStorageDiscoTest (1 método) · mvn test 27/10/2026: 54 pruebas, 0 fallos (EV-21)</t>
  </si>
  <si>
    <t xml:space="preserve">PV-T47</t>
  </si>
  <si>
    <t xml:space="preserve">Se rechaza una foto cuya extensión no coincide con su contenido</t>
  </si>
  <si>
    <t xml:space="preserve">Una imagen PNG guardada con extensión .jpg</t>
  </si>
  <si>
    <t xml:space="preserve">Se rechaza porque el contenido y la extensión no coinciden</t>
  </si>
  <si>
    <t xml:space="preserve">PV-T48</t>
  </si>
  <si>
    <t xml:space="preserve">Sin token CSRF no se registra el reporte</t>
  </si>
  <si>
    <t xml:space="preserve">Un POST a /reportar sin token</t>
  </si>
  <si>
    <t xml:space="preserve">Llega al controlador</t>
  </si>
  <si>
    <t xml:space="preserve">Responde 403 y no se invoca registrarReporte</t>
  </si>
  <si>
    <t xml:space="preserve">ReporteController</t>
  </si>
  <si>
    <t xml:space="preserve">ReporteService (Mockito); MockMvc standalone</t>
  </si>
  <si>
    <t xml:space="preserve">MejorasSeguridadTest (1 método) · mvn test 27/10/2026: 54 pruebas, 0 fallos (EV-21)</t>
  </si>
  <si>
    <t xml:space="preserve">PV-T49</t>
  </si>
  <si>
    <t xml:space="preserve">Sin token CSRF no se procesa la respuesta al duplicado</t>
  </si>
  <si>
    <t xml:space="preserve">Un POST a /reportar/duplicado sin token</t>
  </si>
  <si>
    <t xml:space="preserve">Responde 403 y no se invoca el servicio</t>
  </si>
  <si>
    <t xml:space="preserve">PV-T50</t>
  </si>
  <si>
    <t xml:space="preserve">La exportación exige sesión municipal</t>
  </si>
  <si>
    <t xml:space="preserve">Una petición a GET /panel/exportar sin sesión</t>
  </si>
  <si>
    <t xml:space="preserve">Responde 401 y no se genera el archivo</t>
  </si>
  <si>
    <t xml:space="preserve">ExportacionController</t>
  </si>
  <si>
    <t xml:space="preserve">ExportacionService (Mockito); MockMvc standalone</t>
  </si>
  <si>
    <t xml:space="preserve">PV-T51</t>
  </si>
  <si>
    <t xml:space="preserve">Un operador con sesión puede descargar los conteos</t>
  </si>
  <si>
    <t xml:space="preserve">Un operador con sesión iniciada</t>
  </si>
  <si>
    <t xml:space="preserve">Pide GET /panel/exportar</t>
  </si>
  <si>
    <t xml:space="preserve">Responde 200 con un archivo .xlsx adjunto</t>
  </si>
  <si>
    <t xml:space="preserve">PV-T52</t>
  </si>
  <si>
    <t xml:space="preserve">La exportación rechaza un periodo invertido</t>
  </si>
  <si>
    <t xml:space="preserve">Un periodo donde «desde» es posterior a «hasta»</t>
  </si>
  <si>
    <t xml:space="preserve">Responde 400 y no se genera el archivo</t>
  </si>
  <si>
    <t xml:space="preserve">PV-T53</t>
  </si>
  <si>
    <t xml:space="preserve">Con token CSRF válido el formulario llega a la validación del servicio</t>
  </si>
  <si>
    <t xml:space="preserve">Un POST a /reportar con el token de su sesión</t>
  </si>
  <si>
    <t xml:space="preserve">Pasa el control CSRF y se invoca el servicio</t>
  </si>
  <si>
    <t xml:space="preserve">PV-T54</t>
  </si>
  <si>
    <t xml:space="preserve">Un token de otra sesión se rechaza</t>
  </si>
  <si>
    <t xml:space="preserve">Un POST con un token que pertenece a otra sesión</t>
  </si>
  <si>
    <t xml:space="preserve">Responde 403</t>
  </si>
  <si>
    <t xml:space="preserve">PV-T55</t>
  </si>
  <si>
    <t xml:space="preserve">El Excel lleva los conteos como números y los nombres de zona como texto</t>
  </si>
  <si>
    <t xml:space="preserve">Zonas con conteos, una con nombre que empieza con «=»</t>
  </si>
  <si>
    <t xml:space="preserve">Se genera el libro de Excel</t>
  </si>
  <si>
    <t xml:space="preserve">Los conteos son celdas numéricas y el nombre queda como texto, sin fórmula</t>
  </si>
  <si>
    <t xml:space="preserve">ExportacionService</t>
  </si>
  <si>
    <t xml:space="preserve">DashboardService (Mockito); Apache POI</t>
  </si>
  <si>
    <t xml:space="preserve">ExportacionServiceTest (1 método) · mvn test 27/10/2026: 54 pruebas, 0 fallos (EV-21)</t>
  </si>
  <si>
    <t xml:space="preserve">Notas: T-01 a T-24 son las pruebas de diseño de la matriz de la Semana 9 rev4; «Evidencia» indica su equivalente PV-Txx en el código v0.8 rev3. Verde = ejecutada y aprobada: con el arnés mínimo (JDK 21) y, desde el 23/10/2026, con JUnit real (mvn test: 41 pruebas el 23/10/2026, 42 el 24/10/2026, 44 el 25/10/2026 y 54 el 27/10/2026, 0 fallos). Por diseñar = todavía sin ejecutar: la prueba requiere PostgreSQL real o una integración con Spring (T-09, T-10, T-19 a T-21, T-23). T-19 (paginación de 20 por página) no tiene PV propia: PV-T38 se definió como buscarCasoAbierto() y queda relacionada; ambas Por diseñar. PV-T44 y PV-T45 (rev2) prueban la línea de tiempo de la consulta de estado (T-17). PV-T46 a PV-T55 (rev3) cubren fotos falsas, token CSRF en los formularios públicos y la exportación a Excel. Total ejecutado con JUnit real: 54 pruebas, 0 fallos (EV-21).</t>
  </si>
  <si>
    <t xml:space="preserve">Registro de evidencias</t>
  </si>
  <si>
    <t xml:space="preserve">Tipo</t>
  </si>
  <si>
    <t xml:space="preserve">Descripción</t>
  </si>
  <si>
    <t xml:space="preserve">Archivo / ubicación</t>
  </si>
  <si>
    <t xml:space="preserve">Qué demuestra</t>
  </si>
  <si>
    <t xml:space="preserve">Relacionado con</t>
  </si>
  <si>
    <t xml:space="preserve">Responsable</t>
  </si>
  <si>
    <t xml:space="preserve">EV-01</t>
  </si>
  <si>
    <t xml:space="preserve">Prueba</t>
  </si>
  <si>
    <t xml:space="preserve">Ejecución de las 35 pruebas de service con DAO simulados (repetida tras los cambios de rev1: misma salida)</t>
  </si>
  <si>
    <t xml:space="preserve">35 de 35 pasan en JDK 21 con arnés mínimo (no JUnit/Maven reales)</t>
  </si>
  <si>
    <t xml:space="preserve">T-01 a T-08, T-11, T-12, T-14 a T-18; PV-T25 a PV-T35</t>
  </si>
  <si>
    <t xml:space="preserve">Estudiante (Piura Vigila)</t>
  </si>
  <si>
    <t xml:space="preserve">Validado</t>
  </si>
  <si>
    <t xml:space="preserve">EV-02</t>
  </si>
  <si>
    <t xml:space="preserve">Prueba de mutación: dos errores introducidos a propósito</t>
  </si>
  <si>
    <t xml:space="preserve">evidencias/prueba_mutacion.txt</t>
  </si>
  <si>
    <t xml:space="preserve">Las pruebas detectan los errores (2 fallan de 32)</t>
  </si>
  <si>
    <t xml:space="preserve">T-08 (PV-T09), T-01 (PV-T20)</t>
  </si>
  <si>
    <t xml:space="preserve">EV-03</t>
  </si>
  <si>
    <t xml:space="preserve">Captura de «mvn test» con JUnit 5 real: 41 pruebas (35 de service y 6 de PanelControllerTest), 0 fallos, BUILD SUCCESS (23/10/2026). La repetición con 42 pruebas (PV-T43) es EV-14, con captura; la de 44 pruebas (PV-T44 y PV-T45) es EV-16</t>
  </si>
  <si>
    <t xml:space="preserve">Capturas/EV-03_mvn_test.png</t>
  </si>
  <si>
    <t xml:space="preserve">Mismas pruebas con el ejecutor real; incluye PV-T39, PV-T41 y PV-T42 (MockMvc), ejecutadas por primera vez en esta captura</t>
  </si>
  <si>
    <t xml:space="preserve">T-01 a T-08, T-11 a T-18, T-22, T-24; PV-T25 a PV-T35, PV-T39, PV-T41, PV-T42</t>
  </si>
  <si>
    <t xml:space="preserve">EV-04</t>
  </si>
  <si>
    <t xml:space="preserve">Código</t>
  </si>
  <si>
    <t xml:space="preserve">Estructura de paquetes View–Controller–Service–DAO</t>
  </si>
  <si>
    <t xml:space="preserve">src/main/java/pe/edu/utp/piuravigila/ y src/main/resources/templates/ (dentro del repositorio de GitHub)</t>
  </si>
  <si>
    <t xml:space="preserve">Responsabilidades separadas, nombres de APF2</t>
  </si>
  <si>
    <t xml:space="preserve">FV-01 a FV-06</t>
  </si>
  <si>
    <t xml:space="preserve">EV-05</t>
  </si>
  <si>
    <t xml:space="preserve">Diagrama</t>
  </si>
  <si>
    <t xml:space="preserve">Trazabilidad secuencial y jerarquía</t>
  </si>
  <si>
    <t xml:space="preserve">PiuraVigila_Trazabilidad_v0_8_rev3.drawio, PiuraVigila_Trazabilidad_secuencial_v0_8_rev3.png (con el flujo FV-07) y PiuraVigila_Trazabilidad_jerarquia_v0_8_rev3.png (secuencial y jerarquía)</t>
  </si>
  <si>
    <t xml:space="preserve">Cadena requisito → pantalla → Controller → Service → DAO → tabla → prueba → evidencia</t>
  </si>
  <si>
    <t xml:space="preserve">EV-06</t>
  </si>
  <si>
    <t xml:space="preserve">BD</t>
  </si>
  <si>
    <t xml:space="preserve">Creación de la BD con 01_schema.sql y 02_seed.sql</t>
  </si>
  <si>
    <t xml:space="preserve">Capturas/EV-06_creacion_bd.png: 01_schema.sql sin errores (5 CREATE TABLE, 1 CREATE SEQUENCE, 7 CREATE INDEX) y 02_seed.sql (INSERT de 6 zonas, 10 categorías y 2 usuarios), en una base nueva. Scripts en database/. La captura es del 24/10/2026, anterior al cambio de las zonas a distritos (commit b64ffd2)</t>
  </si>
  <si>
    <t xml:space="preserve">Las 5 tablas, la secuencia seq_codigo_reporte y los datos iniciales se crean sin errores</t>
  </si>
  <si>
    <t xml:space="preserve">EV-07</t>
  </si>
  <si>
    <t xml:space="preserve">Fila en reporte tras registrar un reporte desde el navegador</t>
  </si>
  <si>
    <t xml:space="preserve">Capturas/EV-07_select_reporte.png</t>
  </si>
  <si>
    <t xml:space="preserve">Una operación real llega a la BD</t>
  </si>
  <si>
    <t xml:space="preserve">FV-01</t>
  </si>
  <si>
    <t xml:space="preserve">EV-08</t>
  </si>
  <si>
    <t xml:space="preserve">Log</t>
  </si>
  <si>
    <t xml:space="preserve">Línea «Caso registrado codigo=…» en logs/piuravigila.log</t>
  </si>
  <si>
    <t xml:space="preserve">Capturas/EV-08_log_caso_registrado.png: línea «Caso registrado codigo=PR-2026-0002 categoria=1 zona=1» (24/10/2026 18:24). Capturas/EV-08_log.png muestra además la conexión a PostgreSQL y «Reporte vinculado al caso»</t>
  </si>
  <si>
    <t xml:space="preserve">Evento útil sin datos personales</t>
  </si>
  <si>
    <t xml:space="preserve">EV-09</t>
  </si>
  <si>
    <t xml:space="preserve">Captura</t>
  </si>
  <si>
    <t xml:space="preserve">P01 y P02 funcionando en el navegador</t>
  </si>
  <si>
    <t xml:space="preserve">Capturas/EV-09_P01_reportar_1.png, _2, _3 (código PR-2026-0001) y EV-09_P02_consultar.png; registro repetido el 24/10/2026: Capturas/EV-09_P01_registro_PR-2026-0002.png</t>
  </si>
  <si>
    <t xml:space="preserve">Operación de extremo a extremo</t>
  </si>
  <si>
    <t xml:space="preserve">FV-01, FV-04</t>
  </si>
  <si>
    <t xml:space="preserve">EV-10</t>
  </si>
  <si>
    <t xml:space="preserve">Panel P03 con filtros, cambio de estado y resumen R01 a R03, con sesión de administrador y de operador</t>
  </si>
  <si>
    <t xml:space="preserve">Capturas/EV-10_P03_panel_administrador.png, EV-10_P03_panel_operador.png y EV-10_P03_resumen_R01_R03.png (R01, R02 y R03 con sesión de administrador, 24/10/2026); cambio de estado de los 3 casos a «En proceso» con el mensaje «Estado actualizado»: Capturas/EV-10_P03_cambio_estado.png. Capturas del 24/10/2026, anteriores al cambio de las zonas a distritos (b64ffd2)</t>
  </si>
  <si>
    <t xml:space="preserve">Gestión municipal funcionando</t>
  </si>
  <si>
    <t xml:space="preserve">FV-05, FV-06</t>
  </si>
  <si>
    <t xml:space="preserve">EV-11</t>
  </si>
  <si>
    <t xml:space="preserve">Hash BCrypt de admin y operador en usuario_municipal</t>
  </si>
  <si>
    <t xml:space="preserve">Capturas/EV-11_hash_bcrypt.png</t>
  </si>
  <si>
    <t xml:space="preserve">Librería usada con propósito (RNF-01)</t>
  </si>
  <si>
    <t xml:space="preserve">FV-05</t>
  </si>
  <si>
    <t xml:space="preserve">EV-12</t>
  </si>
  <si>
    <t xml:space="preserve">Mapa de zonas críticas P04 (RF-04) para los periodos 7 días, mes, 3 meses y año</t>
  </si>
  <si>
    <t xml:space="preserve">Capturas/EV-12_P04_mapa.png y EV-12_P04_mapa_7dias_24oct.png (7 días), EV-12_P04_mapa_mes.png, EV-12_P04_mapa_3meses.png y EV-12_P04_mapa_anio.png (Centro 3, Norte 1 en mes, 3 meses y año; 24/10/2026). Versión anterior a rev2, con las zonas previas y solo la cuadrícula; la versión vigente, con distritos y mapa de puntos, es EV-17</t>
  </si>
  <si>
    <t xml:space="preserve">Cuadrícula por zona con conteo que incluye vinculados</t>
  </si>
  <si>
    <t xml:space="preserve">FV-06</t>
  </si>
  <si>
    <t xml:space="preserve">EV-13</t>
  </si>
  <si>
    <t xml:space="preserve">Operador sin formulario «Nueva categoría» ni R02; administrador con ambos</t>
  </si>
  <si>
    <t xml:space="preserve">Capturas/EV-13_P03_administrador_nueva_categoria.png (aviso «Umbral de Otra superado: 25.0 %» y formulario «Nueva categoría», con PR-2026-0003 de categoría 10) y EV-13_P03_operador_sin_formulario.png (mismo aviso, sin formulario). R02 oculto al operador: cubierto por la prueba PV-T42</t>
  </si>
  <si>
    <t xml:space="preserve">El control de rol funciona en pantalla (Q-10)</t>
  </si>
  <si>
    <t xml:space="preserve">EV-14</t>
  </si>
  <si>
    <t xml:space="preserve">Captura de «mvn test» final con PV-T43: 42 pruebas, 0 fallos, BUILD SUCCESS (24/10/2026 18:06)</t>
  </si>
  <si>
    <t xml:space="preserve">Capturas/EV-14_mvn_test_42.png (respaldo: target/surefire-reports, 42 pruebas)</t>
  </si>
  <si>
    <t xml:space="preserve">Incluye PV-T43 (inicio de sesión sin sesión previa), que no estaba en EV-03. Superada por EV-16 (44 pruebas, 25/10/2026)</t>
  </si>
  <si>
    <t xml:space="preserve">T-13, T-22, T-24; PV-T39, PV-T41, PV-T42, PV-T43</t>
  </si>
  <si>
    <t xml:space="preserve">EV-15</t>
  </si>
  <si>
    <t xml:space="preserve">Defecto DEF-01 (RESUELTO): al enviar «Registrar reporte» (POST /reportar) se mostró la página «Error» (HTTP 500), 24/10/2026</t>
  </si>
  <si>
    <t xml:space="preserve">Capturas/DEF-01_reportar_error.png (error) y EV-09_P01_registro_PR-2026-0002.png (corregido)</t>
  </si>
  <si>
    <t xml:space="preserve">Resuelto al reiniciar la aplicación con las variables de entorno definidas; el registro vuelve a funcionar (PR-2026-0002)</t>
  </si>
  <si>
    <t xml:space="preserve">EV-16</t>
  </si>
  <si>
    <t xml:space="preserve">Captura de «mvn test» final de rev2: 44 pruebas, 0 fallos, BUILD SUCCESS (25/10/2026 12:08)</t>
  </si>
  <si>
    <t xml:space="preserve">Capturas/EV-16_mvn_test_44.png (muestra ReporteServiceTest con 18 pruebas y el total de 44: 37 de service y 7 de PanelControllerTest)</t>
  </si>
  <si>
    <t xml:space="preserve">Incluye PV-T44 y PV-T45 (línea de tiempo de la consulta de estado), además de PV-T01 a PV-T43. Superada por EV-21 (54 pruebas, 27/10/2026)</t>
  </si>
  <si>
    <t xml:space="preserve">T-17; PV-T15, PV-T44, PV-T45 y todas las anteriores</t>
  </si>
  <si>
    <t xml:space="preserve">EV-17</t>
  </si>
  <si>
    <t xml:space="preserve">Mapa de zonas críticas P04 con zonas por distrito y mapa de puntos (RF-04): periodo «Últimos 7 días» (19 al 25/10/2026), con los datos de demostración cargados</t>
  </si>
  <si>
    <t xml:space="preserve">Capturas/EV-17_P04_mapa_zonas_y_puntos.png: cuadrícula Piura 6, Veintiséis de Octubre 4, Catacaos 2, La Arena 0, La Unión 0 y Castilla 3; mapa de Leaflet con «15 en el periodo», puntos coloreados por estado (Recibido, En proceso, Atendido)</t>
  </si>
  <si>
    <t xml:space="preserve">Las zonas son distritos reales y cada reporte con ubicación se dibuja como punto; la cuadrícula suma 15 y coincide con los 15 puntos del periodo</t>
  </si>
  <si>
    <t xml:space="preserve">EV-18</t>
  </si>
  <si>
    <t xml:space="preserve">Consultar estado (P02) con línea de tiempo: caso PR-2026-0021 (dato de demostración)</t>
  </si>
  <si>
    <t xml:space="preserve">Capturas/EV-18_P02_consultar_linea_tiempo.png: «Recibido» (24/10/2026 14:37) con la etiqueta «Estado actual»; «En proceso» y «Atendido» en «Pendiente»</t>
  </si>
  <si>
    <t xml:space="preserve">El ciudadano ve el avance del caso por pasos con fecha; no se muestra quién hizo el cambio</t>
  </si>
  <si>
    <t xml:space="preserve">FV-04</t>
  </si>
  <si>
    <t xml:space="preserve">EV-19</t>
  </si>
  <si>
    <t xml:space="preserve">Otro</t>
  </si>
  <si>
    <t xml:space="preserve">Pull request #2 fusionado en GitHub: rama feature/apf3-rev2 hacia main</t>
  </si>
  <si>
    <t xml:space="preserve">https://github.com/SoyJust/PiuraVigila/pull/2 · merge d592b35 · etiqueta semana11-100pct (apunta a d592b35)</t>
  </si>
  <si>
    <t xml:space="preserve">El incremento de rev2 quedó integrado y etiquetado; commits 043d302, 32bcc2b, b64ffd2 y b3892b5 (hoja Commits de la Semana 11); PR #2 revisado y aprobado por justzonagamer-rgb el 26/10/2026</t>
  </si>
  <si>
    <t xml:space="preserve">EV-20</t>
  </si>
  <si>
    <t xml:space="preserve">Datos de demostración (ficticios) para el panel y el mapa</t>
  </si>
  <si>
    <t xml:space="preserve">database/04_datos_demo.sql: 20 casos y 8 reportes vinculados en las 6 zonas; se reconocen por dispositivo_id «demo-…» y al final del archivo están los DELETE para quitarlos</t>
  </si>
  <si>
    <t xml:space="preserve">El panel, el resumen y el mapa se ven con contenido sin registrar los reportes a mano; los conteos por zona se verifican en EV-17</t>
  </si>
  <si>
    <t xml:space="preserve">EV-21</t>
  </si>
  <si>
    <t xml:space="preserve">Salida de «mvn clean test» de la revisión 3 en la laptop del equipo: 54 pruebas, 0 fallos, BUILD SUCCESS (27/10/2026 16:03)</t>
  </si>
  <si>
    <t xml:space="preserve">Capturas/EV-21_mvn_test_54.txt (texto de PowerShell; muestra ReporteServiceTest con 18 pruebas y el total de 54)</t>
  </si>
  <si>
    <t xml:space="preserve">Incluye las 10 pruebas nuevas PV-T46 a PV-T55 (fotos falsas, token CSRF y exportación a Excel) además de PV-T01 a PV-T45</t>
  </si>
  <si>
    <t xml:space="preserve">PV-T46 a PV-T55 y todas las anteriores</t>
  </si>
  <si>
    <t xml:space="preserve">EV-22</t>
  </si>
  <si>
    <t xml:space="preserve">Registro de una segunda corrida de Maven hecha al preparar la revisión 3 (JDK 17, 54 pruebas, 0 fallos)</t>
  </si>
  <si>
    <t xml:space="preserve">Semana 11/REV3_maven_test.txt (también en el repositorio: evidencias/REV3_maven_test.txt)</t>
  </si>
  <si>
    <t xml:space="preserve">Corrida independiente con las dependencias reales de Guava, POI, Commons Lang 3 y Logback; coincide con EV-21</t>
  </si>
  <si>
    <t xml:space="preserve">PV-T46 a PV-T55</t>
  </si>
  <si>
    <t xml:space="preserve">EV-23</t>
  </si>
  <si>
    <t xml:space="preserve">Pull request #3 fusionado en GitHub: rama feature/apf3-rev3 hacia main</t>
  </si>
  <si>
    <t xml:space="preserve">https://github.com/SoyJust/PiuraVigila/pull/3 · commit 52468ca · merge 9d70079 · etiqueta apf3-rev3</t>
  </si>
  <si>
    <t xml:space="preserve">Rev3 integrada y etiquetada: exportación a Excel, librerías de apoyo (Guava, POI, Commons Lang 3, Logback) y validaciones de seguridad</t>
  </si>
  <si>
    <t xml:space="preserve">FV-01, FV-07</t>
  </si>
  <si>
    <t xml:space="preserve">EV-24</t>
  </si>
  <si>
    <t xml:space="preserve">Automatización de pruebas en GitHub Actions</t>
  </si>
  <si>
    <t xml:space="preserve">.github/workflows/pruebas.yml en el repositorio</t>
  </si>
  <si>
    <t xml:space="preserve">Ejecuta mvn clean verify en cada push y pull request; el resultado de cada corrida se ve en la pestaña Actions de GitHub</t>
  </si>
  <si>
    <t xml:space="preserve">Todas las pruebas</t>
  </si>
  <si>
    <t xml:space="preserve">EV-25</t>
  </si>
  <si>
    <t xml:space="preserve">Uso de las librerías de apoyo en el código</t>
  </si>
  <si>
    <t xml:space="preserve">pom.xml; FotoStorageDisco.java (Guava), ExportacionService.java (Apache POI), ValidadorReporte.java (Commons Lang 3), application.properties y logs/piuravigila.log (Logback)</t>
  </si>
  <si>
    <t xml:space="preserve">Las cuatro librerías de apoyo están declaradas en el pom y se usan: huella SHA-256 de las fotos, Excel de zonas, validación de texto y registro de eventos</t>
  </si>
  <si>
    <t xml:space="preserve">RNF-01; Q-22</t>
  </si>
  <si>
    <t xml:space="preserve">EV-26</t>
  </si>
  <si>
    <t xml:space="preserve">EV-27</t>
  </si>
  <si>
    <t xml:space="preserve">EV-28</t>
  </si>
  <si>
    <t xml:space="preserve">EV-29</t>
  </si>
  <si>
    <t xml:space="preserve">EV-30</t>
  </si>
  <si>
    <t xml:space="preserve">EV-31</t>
  </si>
  <si>
    <t xml:space="preserve">EV-32</t>
  </si>
  <si>
    <t xml:space="preserve">EV-33</t>
  </si>
  <si>
    <t xml:space="preserve">EV-34</t>
  </si>
  <si>
    <t xml:space="preserve">EV-35</t>
  </si>
  <si>
    <t xml:space="preserve">EV-36</t>
  </si>
  <si>
    <t xml:space="preserve">EV-37</t>
  </si>
  <si>
    <t xml:space="preserve">EV-38</t>
  </si>
  <si>
    <t xml:space="preserve">EV-39</t>
  </si>
  <si>
    <t xml:space="preserve">EV-40</t>
  </si>
  <si>
    <t xml:space="preserve">EV-41</t>
  </si>
  <si>
    <t xml:space="preserve">EV-42</t>
  </si>
  <si>
    <t xml:space="preserve">EV-43</t>
  </si>
  <si>
    <t xml:space="preserve">EV-44</t>
  </si>
  <si>
    <t xml:space="preserve">EV-45</t>
  </si>
  <si>
    <t xml:space="preserve">EV-46</t>
  </si>
  <si>
    <t xml:space="preserve">EV-47</t>
  </si>
  <si>
    <t xml:space="preserve">EV-48</t>
  </si>
  <si>
    <t xml:space="preserve">EV-49</t>
  </si>
  <si>
    <t xml:space="preserve">EV-50</t>
  </si>
  <si>
    <t xml:space="preserve">EV-51</t>
  </si>
  <si>
    <t xml:space="preserve">EV-52</t>
  </si>
  <si>
    <t xml:space="preserve">EV-53</t>
  </si>
  <si>
    <t xml:space="preserve">EV-54</t>
  </si>
  <si>
    <t xml:space="preserve">EV-55</t>
  </si>
  <si>
    <t xml:space="preserve">EV-56</t>
  </si>
  <si>
    <t xml:space="preserve">EV-57</t>
  </si>
  <si>
    <t xml:space="preserve">EV-58</t>
  </si>
  <si>
    <t xml:space="preserve">EV-59</t>
  </si>
  <si>
    <t xml:space="preserve">EV-60</t>
  </si>
  <si>
    <t xml:space="preserve">EV-61</t>
  </si>
  <si>
    <t xml:space="preserve">EV-62</t>
  </si>
  <si>
    <t xml:space="preserve">EV-63</t>
  </si>
  <si>
    <t xml:space="preserve">EV-64</t>
  </si>
  <si>
    <t xml:space="preserve">EV-65</t>
  </si>
  <si>
    <t xml:space="preserve">EV-66</t>
  </si>
  <si>
    <t xml:space="preserve">EV-67</t>
  </si>
  <si>
    <t xml:space="preserve">EV-68</t>
  </si>
  <si>
    <t xml:space="preserve">EV-69</t>
  </si>
  <si>
    <t xml:space="preserve">EV-70</t>
  </si>
  <si>
    <t xml:space="preserve">EV-71</t>
  </si>
  <si>
    <t xml:space="preserve">EV-72</t>
  </si>
  <si>
    <t xml:space="preserve">EV-73</t>
  </si>
  <si>
    <t xml:space="preserve">EV-74</t>
  </si>
  <si>
    <t xml:space="preserve">EV-75</t>
  </si>
  <si>
    <t xml:space="preserve">EV-76</t>
  </si>
  <si>
    <t xml:space="preserve">EV-77</t>
  </si>
  <si>
    <t xml:space="preserve">EV-78</t>
  </si>
  <si>
    <t xml:space="preserve">EV-79</t>
  </si>
  <si>
    <t xml:space="preserve">EV-80</t>
  </si>
  <si>
    <t xml:space="preserve">EV-81</t>
  </si>
  <si>
    <t xml:space="preserve">EV-82</t>
  </si>
  <si>
    <t xml:space="preserve">EV-83</t>
  </si>
  <si>
    <t xml:space="preserve">EV-84</t>
  </si>
  <si>
    <t xml:space="preserve">EV-85</t>
  </si>
  <si>
    <t xml:space="preserve">EV-86</t>
  </si>
  <si>
    <t xml:space="preserve">EV-87</t>
  </si>
  <si>
    <t xml:space="preserve">EV-88</t>
  </si>
  <si>
    <t xml:space="preserve">EV-89</t>
  </si>
  <si>
    <t xml:space="preserve">EV-90</t>
  </si>
  <si>
    <t xml:space="preserve">EV-91</t>
  </si>
  <si>
    <t xml:space="preserve">EV-92</t>
  </si>
  <si>
    <t xml:space="preserve">EV-93</t>
  </si>
  <si>
    <t xml:space="preserve">EV-94</t>
  </si>
  <si>
    <t xml:space="preserve">EV-95</t>
  </si>
  <si>
    <t xml:space="preserve">EV-96</t>
  </si>
  <si>
    <t xml:space="preserve">EV-97</t>
  </si>
  <si>
    <t xml:space="preserve">EV-98</t>
  </si>
  <si>
    <t xml:space="preserve">EV-99</t>
  </si>
  <si>
    <t xml:space="preserve">EV-100</t>
  </si>
  <si>
    <t xml:space="preserve">Transferencia directa al Proyecto Integrador</t>
  </si>
  <si>
    <t xml:space="preserve">Flujo</t>
  </si>
  <si>
    <t xml:space="preserve">Pantalla / entrada</t>
  </si>
  <si>
    <t xml:space="preserve">DAO / persistencia</t>
  </si>
  <si>
    <t xml:space="preserve">Tabla(s)</t>
  </si>
  <si>
    <t xml:space="preserve">Prueba crítica</t>
  </si>
  <si>
    <t xml:space="preserve">Recurso Java / log</t>
  </si>
  <si>
    <t xml:space="preserve">FV-01 Registrar reporte</t>
  </si>
  <si>
    <t xml:space="preserve">RF-01, RNF-03</t>
  </si>
  <si>
    <t xml:space="preserve">P01 reportar.html · POST /reportar</t>
  </si>
  <si>
    <t xml:space="preserve">ReporteDAO.insertarCaso(); HistorialEstadoDAO.registrar()</t>
  </si>
  <si>
    <t xml:space="preserve">reporte, historial_estado, seq_codigo_reporte</t>
  </si>
  <si>
    <t xml:space="preserve">T-04 (PV-T02, PV-T03, PV-T23, PV-T24, PV-T25), T-07 (PV-T08) y PV-T01, con DAO simulados. Fotos: PV-T33 a PV-T35. Insertar real y concurrencia: T-09 y T-10 (PV-T36, PV-T37) Por diseñar; T-23 (rollback) sin prueba; ejecutado con PostgreSQL: reporte PR-2026-0001 (EV-09, EV-07) y mvn test 41 de 41 (EV-03), 42 de 42 (EV-14) y 44 de 44 (EV-16). Línea «Caso registrado» en el log (EV-08). Registro repetido el 24/10/2026: PR-2026-0002 (EV-09, EV-08). DEF-01 (HTTP 500) resuelto, EV-15 Rev3: fotos reales y token CSRF en el formulario: PV-T46 a PV-T49, PV-T53 y PV-T54 (EV-21).</t>
  </si>
  <si>
    <t xml:space="preserve">Spring @Transactional · log «Caso registrado codigo=…»</t>
  </si>
  <si>
    <t xml:space="preserve">FV-02 Duplicado y vínculo</t>
  </si>
  <si>
    <t xml:space="preserve">RF-05, RN-01</t>
  </si>
  <si>
    <t xml:space="preserve">P01 duplicado.html · POST /reportar/duplicado</t>
  </si>
  <si>
    <t xml:space="preserve">ReporteController.responder()</t>
  </si>
  <si>
    <t xml:space="preserve">ReporteService.responderDuplicado()</t>
  </si>
  <si>
    <t xml:space="preserve">ReporteDAO.buscarCasoAbierto(); ReporteDAO.insertarVinculado()</t>
  </si>
  <si>
    <t xml:space="preserve">reporte (reporte_original_id, sin código propio)</t>
  </si>
  <si>
    <t xml:space="preserve">T-05 (PV-T04, PV-T05), T-06 (PV-T07, PV-T10, PV-T11), T-07 (PV-T08), T-08 (PV-T06, PV-T09) con DAO simulados. Consulta real a PostgreSQL: PV-T38 Por diseñar; vínculo ejecutado: log «Reporte vinculado al caso» (EV-08). Vínculo visible en el panel del 24/10/2026: PR-2026-0001 con «Vinc.» 1 y «Duplicados evitados» 1 en R03. Fila vinculada verificada en BD y en el panel (EV-08, EV-10)</t>
  </si>
  <si>
    <t xml:space="preserve">log «Reporte vinculado al caso codigo=…»</t>
  </si>
  <si>
    <t xml:space="preserve">FV-03 Anti-spam</t>
  </si>
  <si>
    <t xml:space="preserve">RF-06</t>
  </si>
  <si>
    <t xml:space="preserve">P01 · cookie pv_dispositivo + suma guardada en la sesión del servidor</t>
  </si>
  <si>
    <t xml:space="preserve">ControlAntiSpam.validar()</t>
  </si>
  <si>
    <t xml:space="preserve">ReporteDAO.ultimoEnvio(); ReporteDAO.contarEnDia()</t>
  </si>
  <si>
    <t xml:space="preserve">reporte (dispositivo_id, fecha_registro)</t>
  </si>
  <si>
    <t xml:space="preserve">T-01 (PV-T19, PV-T20), T-02 (PV-T21, PV-T22), T-03 (PV-T17, PV-T18) con reloj fijo y DAO simulado; ejecutado con mvn test real (44 de 44, EV-16) y aplicación con PostgreSQL (EV-09)</t>
  </si>
  <si>
    <t xml:space="preserve">Inyección de Clock (hora de Lima) para probar 60 s y «por día»</t>
  </si>
  <si>
    <t xml:space="preserve">FV-04 Consultar estado</t>
  </si>
  <si>
    <t xml:space="preserve">P02 consultar.html · GET /consultar</t>
  </si>
  <si>
    <t xml:space="preserve">T-17 (PV-T15, PV-T44, PV-T45), T-18 (PV-T16) con DAO simulados; ejecutado con PostgreSQL: consulta de PR-2026-0001 (EV-09), línea de tiempo en pantalla (EV-18) y mvn test 41 de 41 (EV-03), 42 de 42 (EV-14) y 44 de 44 (EV-16)</t>
  </si>
  <si>
    <t xml:space="preserve">Mensaje genérico si el código no existe (no revela datos); la línea de tiempo no muestra al responsable del cambio</t>
  </si>
  <si>
    <t xml:space="preserve">FV-05 Gestionar casos (login, estado, categoría)</t>
  </si>
  <si>
    <t xml:space="preserve">RF-03, RF-07, RNF-01</t>
  </si>
  <si>
    <t xml:space="preserve">P03 login.html y panel.html · POST /login, /panel/estado, /panel/categoria</t>
  </si>
  <si>
    <t xml:space="preserve">PanelController.iniciar(), cambiarEstado(), habilitarCategoria()</t>
  </si>
  <si>
    <t xml:space="preserve">AuthService.autenticar(); ReporteService.cambiarEstado(); CategoriaService.habilitar()</t>
  </si>
  <si>
    <t xml:space="preserve">UsuarioMunicipalDAO.buscarPorUsuario(); HistorialEstadoDAO.registrar(); CategoriaDAO.insertar()</t>
  </si>
  <si>
    <t xml:space="preserve">usuario_municipal, reporte, historial_estado, categoria</t>
  </si>
  <si>
    <t xml:space="preserve">T-11 (PV-T13, PV-T14), T-12 (PV-T12), T-14 (PV-T30), T-15 (PV-T29), T-16 (PV-T27), PV-T26 y PV-T28 con DAO simulados. Sesión, CSRF y rol de administrador en el controlador: T-13 (PV-T39), T-22 (PV-T41) y PV-T43 (login sin sesión previa) ejecutadas con MockMvc en mvn test real (42 de 42, EV-14; 44 de 44, EV-16); también T-11 a T-16. Login de administrador y operador verificado (EV-10, EV-11); EV-13 validado (24/10/2026). Cambio de estado a En proceso ejecutado (EV-10)</t>
  </si>
  <si>
    <t xml:space="preserve">BCrypt (spring-security-crypto) para el hash; AdminInicializador (PIURA_ADMIN_PASSWORD y PIURA_OPERADOR_PASSWORD) · log sin contraseñas</t>
  </si>
  <si>
    <t xml:space="preserve">FV-06 Resumen R01 a R03 (sin fotos) y mapa P04</t>
  </si>
  <si>
    <t xml:space="preserve">RF-03, RF-04, RF-07</t>
  </si>
  <si>
    <t xml:space="preserve">P03 panel.html · GET /panel?resumen=true. P04 mapa.html · GET /panel/mapa</t>
  </si>
  <si>
    <t xml:space="preserve">PanelController.panel(), PanelController.mapa()</t>
  </si>
  <si>
    <t xml:space="preserve">DashboardService.zonasCriticas(), tiemposAtencion(), resumenGestion(), puntosReportes()</t>
  </si>
  <si>
    <t xml:space="preserve">ReporteDAO.reportesPorZona(), puntosPeriodo(), casosPorEstado(); HistorialEstadoDAO.tiempoPromedio(); CategoriaDAO.porcentajeOtraMes()</t>
  </si>
  <si>
    <t xml:space="preserve">reporte, historial_estado, categoria, zona</t>
  </si>
  <si>
    <t xml:space="preserve">PV-T31, PV-T32 (R03) con DAO simulados. T-24 (PV-T42, R02 solo administrador) ejecutada con MockMvc en mvn test real (EV-03, EV-14 y EV-16). SQL real R01 a R03: T-20 y T-21 (PV-T40) Por diseñar. El mapa P04 (cuadrícula y puntos) no tiene prueba propia; mapa P04 ejecutado en los 4 periodos (EV-12) y, con distritos y puntos, en EV-17 (EV-12); R01 a R03 capturados el 24/10/2026 (EV-10)</t>
  </si>
  <si>
    <t xml:space="preserve">R02 solo para el rol administrador; P04 lo ven operador y administrador; el mapa usa Leaflet + OpenStreetMap y necesita internet</t>
  </si>
  <si>
    <t xml:space="preserve">FV-07 Exportar zonas a Excel (rev3)</t>
  </si>
  <si>
    <t xml:space="preserve">P03 panel.html (enlace «Descargar zonas en Excel») · GET /panel/exportar</t>
  </si>
  <si>
    <t xml:space="preserve">PV-T50 a PV-T52 (sesión, operador y periodo, con MockMvc) y PV-T55 (contenido del Excel con Apache POI); mvn test 54 de 54 (EV-21). Falta la captura del archivo descargado desde el panel.</t>
  </si>
  <si>
    <t xml:space="preserve">Apache POI; Cache-Control no-store; solo conteos por zona, sin datos personales ni fotos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</si>
</sst>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7A4E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91C1C"/>
        <bgColor rgb="FF991B1B"/>
      </patternFill>
    </fill>
    <fill>
      <patternFill patternType="solid">
        <fgColor rgb="FF1F2937"/>
        <bgColor rgb="FF333300"/>
      </patternFill>
    </fill>
    <fill>
      <patternFill patternType="solid">
        <fgColor rgb="FFFFF7CC"/>
        <bgColor rgb="FFFEF3C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166534"/>
      </font>
      <fill>
        <patternFill>
          <bgColor rgb="FFDCFCE7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7A4E00"/>
      <rgbColor rgb="FF800080"/>
      <rgbColor rgb="FF008080"/>
      <rgbColor rgb="FFC0C0C0"/>
      <rgbColor rgb="FF808080"/>
      <rgbColor rgb="FF9999FF"/>
      <rgbColor rgb="FFB91C1C"/>
      <rgbColor rgb="FFFFF7C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1"/>
    <col collapsed="false" customWidth="true" hidden="false" outlineLevel="0" max="2" min="2" style="1" width="16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1</v>
      </c>
      <c r="B3" s="4" t="s">
        <v>2</v>
      </c>
      <c r="C3" s="3"/>
      <c r="D3" s="5" t="s">
        <v>3</v>
      </c>
      <c r="E3" s="5"/>
      <c r="F3" s="5"/>
      <c r="G3" s="5"/>
      <c r="H3" s="5"/>
      <c r="I3" s="3"/>
      <c r="J3" s="3"/>
    </row>
    <row r="4" customFormat="false" ht="15" hidden="false" customHeight="true" outlineLevel="0" collapsed="false">
      <c r="A4" s="6" t="s">
        <v>4</v>
      </c>
      <c r="B4" s="6" t="n">
        <f aca="false">COUNTA(Transferencia_PI!A4:A103)</f>
        <v>7</v>
      </c>
      <c r="C4" s="3"/>
      <c r="D4" s="7" t="s">
        <v>5</v>
      </c>
      <c r="E4" s="7"/>
      <c r="F4" s="7"/>
      <c r="G4" s="7"/>
      <c r="H4" s="7"/>
      <c r="I4" s="3"/>
      <c r="J4" s="3"/>
    </row>
    <row r="5" customFormat="false" ht="15" hidden="false" customHeight="true" outlineLevel="0" collapsed="false">
      <c r="A5" s="6" t="s">
        <v>6</v>
      </c>
      <c r="B5" s="6" t="n">
        <f aca="false">COUNTA(TDD!B4:B103)</f>
        <v>55</v>
      </c>
      <c r="C5" s="3"/>
      <c r="D5" s="7"/>
      <c r="E5" s="7"/>
      <c r="F5" s="7"/>
      <c r="G5" s="7"/>
      <c r="H5" s="7"/>
      <c r="I5" s="3"/>
      <c r="J5" s="3"/>
    </row>
    <row r="6" customFormat="false" ht="15" hidden="false" customHeight="true" outlineLevel="0" collapsed="false">
      <c r="A6" s="6" t="s">
        <v>7</v>
      </c>
      <c r="B6" s="6" t="n">
        <f aca="false">COUNTA(Evidencias!C4:C103)</f>
        <v>25</v>
      </c>
      <c r="C6" s="3"/>
      <c r="D6" s="3"/>
      <c r="E6" s="3"/>
      <c r="F6" s="3"/>
      <c r="G6" s="3"/>
      <c r="H6" s="3"/>
      <c r="I6" s="3"/>
      <c r="J6" s="3"/>
    </row>
    <row r="7" customFormat="false" ht="27.75" hidden="false" customHeight="true" outlineLevel="0" collapsed="false">
      <c r="A7" s="6" t="s">
        <v>8</v>
      </c>
      <c r="B7" s="6" t="n">
        <f aca="false">COUNTIF(SOLID!E4:E8,"Sí")</f>
        <v>3</v>
      </c>
      <c r="C7" s="3"/>
      <c r="D7" s="4" t="s">
        <v>9</v>
      </c>
      <c r="E7" s="4" t="s">
        <v>10</v>
      </c>
      <c r="F7" s="4" t="s">
        <v>11</v>
      </c>
      <c r="G7" s="4"/>
      <c r="H7" s="4"/>
      <c r="I7" s="3"/>
      <c r="J7" s="3"/>
    </row>
    <row r="8" customFormat="false" ht="45.75" hidden="false" customHeight="true" outlineLevel="0" collapsed="false">
      <c r="A8" s="6" t="s">
        <v>12</v>
      </c>
      <c r="B8" s="6" t="n">
        <f aca="false">COUNTIF(Transferencia_PI!J4:J103,"Verde")</f>
        <v>6</v>
      </c>
      <c r="C8" s="3"/>
      <c r="D8" s="6" t="s">
        <v>13</v>
      </c>
      <c r="E8" s="6" t="s">
        <v>14</v>
      </c>
      <c r="F8" s="6" t="s">
        <v>15</v>
      </c>
      <c r="G8" s="6"/>
      <c r="H8" s="6"/>
      <c r="I8" s="3"/>
      <c r="J8" s="3"/>
    </row>
    <row r="9" customFormat="false" ht="45.75" hidden="false" customHeight="true" outlineLevel="0" collapsed="false">
      <c r="A9" s="6" t="s">
        <v>16</v>
      </c>
      <c r="B9" s="8" t="n">
        <f aca="false">IFERROR(B8/B4,0)</f>
        <v>0.857142857142857</v>
      </c>
      <c r="C9" s="3"/>
      <c r="D9" s="6" t="s">
        <v>17</v>
      </c>
      <c r="E9" s="6" t="s">
        <v>18</v>
      </c>
      <c r="F9" s="6" t="s">
        <v>19</v>
      </c>
      <c r="G9" s="6"/>
      <c r="H9" s="6"/>
      <c r="I9" s="3"/>
      <c r="J9" s="3"/>
    </row>
    <row r="10" customFormat="false" ht="57" hidden="false" customHeight="true" outlineLevel="0" collapsed="false">
      <c r="A10" s="3"/>
      <c r="B10" s="3"/>
      <c r="C10" s="3"/>
      <c r="D10" s="6" t="s">
        <v>20</v>
      </c>
      <c r="E10" s="6" t="s">
        <v>21</v>
      </c>
      <c r="F10" s="6" t="s">
        <v>22</v>
      </c>
      <c r="G10" s="6"/>
      <c r="H10" s="6"/>
      <c r="I10" s="3"/>
      <c r="J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</row>
  </sheetData>
  <mergeCells count="3">
    <mergeCell ref="A1:H1"/>
    <mergeCell ref="D3:H3"/>
    <mergeCell ref="D4:H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27"/>
    <col collapsed="false" customWidth="true" hidden="false" outlineLevel="0" max="5" min="5" style="1" width="29"/>
    <col collapsed="false" customWidth="true" hidden="false" outlineLevel="0" max="6" min="6" style="1" width="28"/>
    <col collapsed="false" customWidth="true" hidden="false" outlineLevel="0" max="7" min="7" style="1" width="25"/>
    <col collapsed="false" customWidth="true" hidden="false" outlineLevel="0" max="8" min="8" style="1" width="24"/>
    <col collapsed="false" customWidth="true" hidden="false" outlineLevel="0" max="9" min="9" style="1" width="18"/>
  </cols>
  <sheetData>
    <row r="1" customFormat="false" ht="20.25" hidden="false" customHeight="true" outlineLevel="0" collapsed="false">
      <c r="A1" s="2" t="s">
        <v>23</v>
      </c>
      <c r="B1" s="2"/>
      <c r="C1" s="2"/>
      <c r="D1" s="2"/>
      <c r="E1" s="2"/>
      <c r="F1" s="2"/>
      <c r="G1" s="2"/>
      <c r="H1" s="2"/>
      <c r="I1" s="2"/>
      <c r="J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3"/>
    </row>
    <row r="4" customFormat="false" ht="80.25" hidden="false" customHeight="true" outlineLevel="0" collapsed="false">
      <c r="A4" s="9" t="s">
        <v>33</v>
      </c>
      <c r="B4" s="9" t="s">
        <v>34</v>
      </c>
      <c r="C4" s="9" t="s">
        <v>35</v>
      </c>
      <c r="D4" s="9" t="s">
        <v>36</v>
      </c>
      <c r="E4" s="9" t="s">
        <v>37</v>
      </c>
      <c r="F4" s="9" t="s">
        <v>38</v>
      </c>
      <c r="G4" s="9" t="s">
        <v>39</v>
      </c>
      <c r="H4" s="9" t="s">
        <v>40</v>
      </c>
      <c r="I4" s="9" t="s">
        <v>41</v>
      </c>
      <c r="J4" s="3"/>
    </row>
    <row r="5" customFormat="false" ht="67.5" hidden="false" customHeight="true" outlineLevel="0" collapsed="false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  <c r="G5" s="9" t="s">
        <v>39</v>
      </c>
      <c r="H5" s="9" t="s">
        <v>48</v>
      </c>
      <c r="I5" s="9" t="s">
        <v>49</v>
      </c>
      <c r="J5" s="3"/>
    </row>
    <row r="6" customFormat="false" ht="30.75" hidden="false" customHeight="true" outlineLevel="0" collapsed="false">
      <c r="A6" s="9" t="s">
        <v>50</v>
      </c>
      <c r="B6" s="9" t="s">
        <v>51</v>
      </c>
      <c r="C6" s="9" t="s">
        <v>52</v>
      </c>
      <c r="D6" s="9" t="s">
        <v>53</v>
      </c>
      <c r="E6" s="9" t="s">
        <v>54</v>
      </c>
      <c r="F6" s="9" t="s">
        <v>55</v>
      </c>
      <c r="G6" s="9" t="s">
        <v>39</v>
      </c>
      <c r="H6" s="9" t="s">
        <v>56</v>
      </c>
      <c r="I6" s="9" t="s">
        <v>57</v>
      </c>
      <c r="J6" s="3"/>
    </row>
    <row r="7" customFormat="false" ht="54.75" hidden="false" customHeight="true" outlineLevel="0" collapsed="false">
      <c r="A7" s="9" t="s">
        <v>58</v>
      </c>
      <c r="B7" s="9" t="s">
        <v>59</v>
      </c>
      <c r="C7" s="9" t="s">
        <v>60</v>
      </c>
      <c r="D7" s="9" t="s">
        <v>61</v>
      </c>
      <c r="E7" s="9" t="s">
        <v>62</v>
      </c>
      <c r="F7" s="9" t="s">
        <v>63</v>
      </c>
      <c r="G7" s="9" t="s">
        <v>64</v>
      </c>
      <c r="H7" s="9" t="s">
        <v>65</v>
      </c>
      <c r="I7" s="9" t="s">
        <v>66</v>
      </c>
      <c r="J7" s="3"/>
    </row>
    <row r="8" customFormat="false" ht="30.75" hidden="false" customHeight="true" outlineLevel="0" collapsed="false">
      <c r="A8" s="9" t="s">
        <v>67</v>
      </c>
      <c r="B8" s="9" t="s">
        <v>68</v>
      </c>
      <c r="C8" s="9" t="s">
        <v>69</v>
      </c>
      <c r="D8" s="9" t="s">
        <v>70</v>
      </c>
      <c r="E8" s="9" t="s">
        <v>71</v>
      </c>
      <c r="F8" s="9" t="s">
        <v>72</v>
      </c>
      <c r="G8" s="9" t="s">
        <v>73</v>
      </c>
      <c r="H8" s="9" t="s">
        <v>74</v>
      </c>
      <c r="I8" s="9" t="s">
        <v>75</v>
      </c>
      <c r="J8" s="3"/>
    </row>
    <row r="9" customFormat="false" ht="42" hidden="false" customHeight="true" outlineLevel="0" collapsed="false">
      <c r="A9" s="9" t="s">
        <v>76</v>
      </c>
      <c r="B9" s="9" t="s">
        <v>59</v>
      </c>
      <c r="C9" s="9" t="s">
        <v>77</v>
      </c>
      <c r="D9" s="9" t="s">
        <v>78</v>
      </c>
      <c r="E9" s="9" t="s">
        <v>79</v>
      </c>
      <c r="F9" s="9" t="s">
        <v>80</v>
      </c>
      <c r="G9" s="9" t="s">
        <v>64</v>
      </c>
      <c r="H9" s="9" t="s">
        <v>81</v>
      </c>
      <c r="I9" s="9" t="s">
        <v>82</v>
      </c>
      <c r="J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4"/>
    <col collapsed="false" customWidth="true" hidden="false" outlineLevel="0" max="3" min="3" style="1" width="32"/>
    <col collapsed="false" customWidth="true" hidden="false" outlineLevel="0" max="4" min="4" style="1" width="26"/>
    <col collapsed="false" customWidth="true" hidden="false" outlineLevel="0" max="5" min="5" style="1" width="12"/>
    <col collapsed="false" customWidth="true" hidden="false" outlineLevel="0" max="6" min="6" style="1" width="26"/>
  </cols>
  <sheetData>
    <row r="1" customFormat="false" ht="20.25" hidden="false" customHeight="true" outlineLevel="0" collapsed="false">
      <c r="A1" s="2" t="s">
        <v>83</v>
      </c>
      <c r="B1" s="2"/>
      <c r="C1" s="2"/>
      <c r="D1" s="2"/>
      <c r="E1" s="2"/>
      <c r="F1" s="2"/>
      <c r="G1" s="3"/>
      <c r="H1" s="3"/>
      <c r="I1" s="3"/>
      <c r="J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84</v>
      </c>
      <c r="B3" s="4" t="s">
        <v>85</v>
      </c>
      <c r="C3" s="4" t="s">
        <v>86</v>
      </c>
      <c r="D3" s="4" t="s">
        <v>87</v>
      </c>
      <c r="E3" s="4" t="s">
        <v>88</v>
      </c>
      <c r="F3" s="4" t="s">
        <v>89</v>
      </c>
      <c r="G3" s="3"/>
      <c r="H3" s="3"/>
      <c r="I3" s="3"/>
      <c r="J3" s="3"/>
    </row>
    <row r="4" customFormat="false" ht="152.25" hidden="false" customHeight="true" outlineLevel="0" collapsed="false">
      <c r="A4" s="9" t="s">
        <v>90</v>
      </c>
      <c r="B4" s="9" t="s">
        <v>91</v>
      </c>
      <c r="C4" s="9" t="s">
        <v>92</v>
      </c>
      <c r="D4" s="9" t="s">
        <v>93</v>
      </c>
      <c r="E4" s="10" t="s">
        <v>94</v>
      </c>
      <c r="F4" s="10" t="s">
        <v>95</v>
      </c>
      <c r="G4" s="3"/>
      <c r="H4" s="3"/>
      <c r="I4" s="3"/>
      <c r="J4" s="3"/>
    </row>
    <row r="5" customFormat="false" ht="118.5" hidden="false" customHeight="true" outlineLevel="0" collapsed="false">
      <c r="A5" s="9" t="s">
        <v>96</v>
      </c>
      <c r="B5" s="9" t="s">
        <v>97</v>
      </c>
      <c r="C5" s="9" t="s">
        <v>98</v>
      </c>
      <c r="D5" s="9" t="s">
        <v>99</v>
      </c>
      <c r="E5" s="10" t="s">
        <v>94</v>
      </c>
      <c r="F5" s="10" t="s">
        <v>100</v>
      </c>
      <c r="G5" s="3"/>
      <c r="H5" s="3"/>
      <c r="I5" s="3"/>
      <c r="J5" s="3"/>
    </row>
    <row r="6" customFormat="false" ht="169.5" hidden="false" customHeight="true" outlineLevel="0" collapsed="false">
      <c r="A6" s="9" t="s">
        <v>101</v>
      </c>
      <c r="B6" s="9" t="s">
        <v>102</v>
      </c>
      <c r="C6" s="9" t="s">
        <v>103</v>
      </c>
      <c r="D6" s="9" t="s">
        <v>104</v>
      </c>
      <c r="E6" s="10" t="s">
        <v>105</v>
      </c>
      <c r="F6" s="10" t="s">
        <v>106</v>
      </c>
      <c r="G6" s="3"/>
      <c r="H6" s="3"/>
      <c r="I6" s="3"/>
      <c r="J6" s="3"/>
    </row>
    <row r="7" customFormat="false" ht="156.75" hidden="false" customHeight="true" outlineLevel="0" collapsed="false">
      <c r="A7" s="9" t="s">
        <v>107</v>
      </c>
      <c r="B7" s="9" t="s">
        <v>108</v>
      </c>
      <c r="C7" s="9" t="s">
        <v>109</v>
      </c>
      <c r="D7" s="9" t="s">
        <v>110</v>
      </c>
      <c r="E7" s="10" t="s">
        <v>105</v>
      </c>
      <c r="F7" s="10" t="s">
        <v>111</v>
      </c>
      <c r="G7" s="3"/>
      <c r="H7" s="3"/>
      <c r="I7" s="3"/>
      <c r="J7" s="3"/>
    </row>
    <row r="8" customFormat="false" ht="84.75" hidden="false" customHeight="true" outlineLevel="0" collapsed="false">
      <c r="A8" s="9" t="s">
        <v>112</v>
      </c>
      <c r="B8" s="9" t="s">
        <v>113</v>
      </c>
      <c r="C8" s="9" t="s">
        <v>114</v>
      </c>
      <c r="D8" s="9" t="s">
        <v>115</v>
      </c>
      <c r="E8" s="10" t="s">
        <v>94</v>
      </c>
      <c r="F8" s="10" t="s">
        <v>116</v>
      </c>
      <c r="G8" s="3"/>
      <c r="H8" s="3"/>
      <c r="I8" s="3"/>
      <c r="J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</row>
  </sheetData>
  <mergeCells count="1">
    <mergeCell ref="A1:F1"/>
  </mergeCells>
  <dataValidations count="1">
    <dataValidation allowBlank="false" errorStyle="stop" operator="between" showDropDown="false" showErrorMessage="false" showInputMessage="false" sqref="E4:E8" type="list">
      <formula1>"Sí,No,Parcial"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4"/>
    <col collapsed="false" customWidth="true" hidden="false" outlineLevel="0" max="3" min="3" style="1" width="28"/>
    <col collapsed="false" customWidth="true" hidden="false" outlineLevel="0" max="4" min="4" style="1" width="27"/>
    <col collapsed="false" customWidth="true" hidden="false" outlineLevel="0" max="5" min="5" style="1" width="30"/>
    <col collapsed="false" customWidth="true" hidden="false" outlineLevel="0" max="6" min="6" style="1" width="22"/>
    <col collapsed="false" customWidth="true" hidden="false" outlineLevel="0" max="7" min="7" style="1" width="24"/>
    <col collapsed="false" customWidth="true" hidden="false" outlineLevel="0" max="8" min="8" style="1" width="13"/>
    <col collapsed="false" customWidth="true" hidden="false" outlineLevel="0" max="9" min="9" style="1" width="22"/>
  </cols>
  <sheetData>
    <row r="1" customFormat="false" ht="20.25" hidden="false" customHeight="true" outlineLevel="0" collapsed="false">
      <c r="A1" s="2" t="s">
        <v>117</v>
      </c>
      <c r="B1" s="2"/>
      <c r="C1" s="2"/>
      <c r="D1" s="2"/>
      <c r="E1" s="2"/>
      <c r="F1" s="2"/>
      <c r="G1" s="2"/>
      <c r="H1" s="2"/>
      <c r="I1" s="2"/>
      <c r="J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24</v>
      </c>
      <c r="B3" s="4" t="s">
        <v>26</v>
      </c>
      <c r="C3" s="4" t="s">
        <v>118</v>
      </c>
      <c r="D3" s="4" t="s">
        <v>119</v>
      </c>
      <c r="E3" s="4" t="s">
        <v>120</v>
      </c>
      <c r="F3" s="4" t="s">
        <v>121</v>
      </c>
      <c r="G3" s="4" t="s">
        <v>122</v>
      </c>
      <c r="H3" s="4" t="s">
        <v>9</v>
      </c>
      <c r="I3" s="4" t="s">
        <v>123</v>
      </c>
      <c r="J3" s="3"/>
    </row>
    <row r="4" customFormat="false" ht="30.75" hidden="false" customHeight="true" outlineLevel="0" collapsed="false">
      <c r="A4" s="3" t="s">
        <v>124</v>
      </c>
      <c r="B4" s="3" t="s">
        <v>125</v>
      </c>
      <c r="C4" s="3" t="s">
        <v>126</v>
      </c>
      <c r="D4" s="3" t="s">
        <v>127</v>
      </c>
      <c r="E4" s="3" t="s">
        <v>128</v>
      </c>
      <c r="F4" s="3" t="s">
        <v>129</v>
      </c>
      <c r="G4" s="3" t="s">
        <v>130</v>
      </c>
      <c r="H4" s="3" t="s">
        <v>13</v>
      </c>
      <c r="I4" s="3" t="s">
        <v>131</v>
      </c>
      <c r="J4" s="3"/>
    </row>
    <row r="5" customFormat="false" ht="30.75" hidden="false" customHeight="true" outlineLevel="0" collapsed="false">
      <c r="A5" s="3" t="s">
        <v>132</v>
      </c>
      <c r="B5" s="3" t="s">
        <v>133</v>
      </c>
      <c r="C5" s="3" t="s">
        <v>134</v>
      </c>
      <c r="D5" s="3" t="s">
        <v>127</v>
      </c>
      <c r="E5" s="3" t="s">
        <v>135</v>
      </c>
      <c r="F5" s="3" t="s">
        <v>129</v>
      </c>
      <c r="G5" s="3" t="s">
        <v>136</v>
      </c>
      <c r="H5" s="3" t="s">
        <v>13</v>
      </c>
      <c r="I5" s="3" t="s">
        <v>137</v>
      </c>
      <c r="J5" s="3"/>
    </row>
    <row r="6" customFormat="false" ht="30.75" hidden="false" customHeight="true" outlineLevel="0" collapsed="false">
      <c r="A6" s="3" t="s">
        <v>138</v>
      </c>
      <c r="B6" s="3" t="s">
        <v>139</v>
      </c>
      <c r="C6" s="3" t="s">
        <v>140</v>
      </c>
      <c r="D6" s="3" t="s">
        <v>141</v>
      </c>
      <c r="E6" s="3" t="s">
        <v>142</v>
      </c>
      <c r="F6" s="3" t="s">
        <v>129</v>
      </c>
      <c r="G6" s="3" t="s">
        <v>143</v>
      </c>
      <c r="H6" s="3" t="s">
        <v>13</v>
      </c>
      <c r="I6" s="3" t="s">
        <v>144</v>
      </c>
      <c r="J6" s="3"/>
    </row>
    <row r="7" customFormat="false" ht="71.25" hidden="false" customHeight="true" outlineLevel="0" collapsed="false">
      <c r="A7" s="3" t="s">
        <v>145</v>
      </c>
      <c r="B7" s="3" t="s">
        <v>146</v>
      </c>
      <c r="C7" s="3" t="s">
        <v>147</v>
      </c>
      <c r="D7" s="3" t="s">
        <v>148</v>
      </c>
      <c r="E7" s="3" t="s">
        <v>149</v>
      </c>
      <c r="F7" s="3" t="s">
        <v>150</v>
      </c>
      <c r="G7" s="3" t="s">
        <v>151</v>
      </c>
      <c r="H7" s="3" t="s">
        <v>13</v>
      </c>
      <c r="I7" s="3" t="s">
        <v>152</v>
      </c>
      <c r="J7" s="3"/>
    </row>
    <row r="8" customFormat="false" ht="30.75" hidden="false" customHeight="true" outlineLevel="0" collapsed="false">
      <c r="A8" s="3" t="s">
        <v>153</v>
      </c>
      <c r="B8" s="3" t="s">
        <v>154</v>
      </c>
      <c r="C8" s="3" t="s">
        <v>155</v>
      </c>
      <c r="D8" s="3" t="s">
        <v>156</v>
      </c>
      <c r="E8" s="3" t="s">
        <v>157</v>
      </c>
      <c r="F8" s="3" t="s">
        <v>158</v>
      </c>
      <c r="G8" s="3" t="s">
        <v>159</v>
      </c>
      <c r="H8" s="3" t="s">
        <v>13</v>
      </c>
      <c r="I8" s="3" t="s">
        <v>160</v>
      </c>
      <c r="J8" s="3"/>
    </row>
    <row r="9" customFormat="false" ht="44.25" hidden="false" customHeight="true" outlineLevel="0" collapsed="false">
      <c r="A9" s="3" t="s">
        <v>161</v>
      </c>
      <c r="B9" s="3" t="s">
        <v>162</v>
      </c>
      <c r="C9" s="3" t="s">
        <v>163</v>
      </c>
      <c r="D9" s="3" t="s">
        <v>164</v>
      </c>
      <c r="E9" s="3" t="s">
        <v>165</v>
      </c>
      <c r="F9" s="3" t="s">
        <v>158</v>
      </c>
      <c r="G9" s="3" t="s">
        <v>166</v>
      </c>
      <c r="H9" s="3" t="s">
        <v>13</v>
      </c>
      <c r="I9" s="3" t="s">
        <v>167</v>
      </c>
      <c r="J9" s="3"/>
    </row>
    <row r="10" customFormat="false" ht="30.75" hidden="false" customHeight="true" outlineLevel="0" collapsed="false">
      <c r="A10" s="3" t="s">
        <v>168</v>
      </c>
      <c r="B10" s="3" t="s">
        <v>169</v>
      </c>
      <c r="C10" s="3" t="s">
        <v>163</v>
      </c>
      <c r="D10" s="3" t="s">
        <v>170</v>
      </c>
      <c r="E10" s="3" t="s">
        <v>171</v>
      </c>
      <c r="F10" s="3" t="s">
        <v>158</v>
      </c>
      <c r="G10" s="3" t="s">
        <v>172</v>
      </c>
      <c r="H10" s="3" t="s">
        <v>13</v>
      </c>
      <c r="I10" s="3" t="s">
        <v>173</v>
      </c>
      <c r="J10" s="3"/>
    </row>
    <row r="11" customFormat="false" ht="30.75" hidden="false" customHeight="true" outlineLevel="0" collapsed="false">
      <c r="A11" s="3" t="s">
        <v>174</v>
      </c>
      <c r="B11" s="3" t="s">
        <v>175</v>
      </c>
      <c r="C11" s="3" t="s">
        <v>176</v>
      </c>
      <c r="D11" s="3" t="s">
        <v>156</v>
      </c>
      <c r="E11" s="3" t="s">
        <v>177</v>
      </c>
      <c r="F11" s="3" t="s">
        <v>158</v>
      </c>
      <c r="G11" s="3" t="s">
        <v>178</v>
      </c>
      <c r="H11" s="3" t="s">
        <v>13</v>
      </c>
      <c r="I11" s="3" t="s">
        <v>179</v>
      </c>
      <c r="J11" s="3"/>
    </row>
    <row r="12" customFormat="false" ht="57.75" hidden="false" customHeight="true" outlineLevel="0" collapsed="false">
      <c r="A12" s="3" t="s">
        <v>180</v>
      </c>
      <c r="B12" s="3" t="s">
        <v>181</v>
      </c>
      <c r="C12" s="3" t="s">
        <v>182</v>
      </c>
      <c r="D12" s="3" t="s">
        <v>183</v>
      </c>
      <c r="E12" s="3" t="s">
        <v>184</v>
      </c>
      <c r="F12" s="3" t="s">
        <v>166</v>
      </c>
      <c r="G12" s="3" t="s">
        <v>185</v>
      </c>
      <c r="H12" s="3" t="s">
        <v>186</v>
      </c>
      <c r="I12" s="3" t="s">
        <v>187</v>
      </c>
      <c r="J12" s="3"/>
    </row>
    <row r="13" customFormat="false" ht="30.75" hidden="false" customHeight="true" outlineLevel="0" collapsed="false">
      <c r="A13" s="3" t="s">
        <v>188</v>
      </c>
      <c r="B13" s="3" t="s">
        <v>189</v>
      </c>
      <c r="C13" s="3" t="s">
        <v>190</v>
      </c>
      <c r="D13" s="3" t="s">
        <v>191</v>
      </c>
      <c r="E13" s="3" t="s">
        <v>192</v>
      </c>
      <c r="F13" s="3" t="s">
        <v>166</v>
      </c>
      <c r="G13" s="3" t="s">
        <v>185</v>
      </c>
      <c r="H13" s="3" t="s">
        <v>186</v>
      </c>
      <c r="I13" s="3" t="s">
        <v>193</v>
      </c>
      <c r="J13" s="3"/>
    </row>
    <row r="14" customFormat="false" ht="30.75" hidden="false" customHeight="true" outlineLevel="0" collapsed="false">
      <c r="A14" s="3" t="s">
        <v>194</v>
      </c>
      <c r="B14" s="3" t="s">
        <v>195</v>
      </c>
      <c r="C14" s="3" t="s">
        <v>196</v>
      </c>
      <c r="D14" s="3" t="s">
        <v>197</v>
      </c>
      <c r="E14" s="3" t="s">
        <v>198</v>
      </c>
      <c r="F14" s="3" t="s">
        <v>158</v>
      </c>
      <c r="G14" s="3" t="s">
        <v>199</v>
      </c>
      <c r="H14" s="3" t="s">
        <v>13</v>
      </c>
      <c r="I14" s="3" t="s">
        <v>200</v>
      </c>
      <c r="J14" s="3"/>
    </row>
    <row r="15" customFormat="false" ht="30.75" hidden="false" customHeight="true" outlineLevel="0" collapsed="false">
      <c r="A15" s="3" t="s">
        <v>201</v>
      </c>
      <c r="B15" s="3" t="s">
        <v>202</v>
      </c>
      <c r="C15" s="3" t="s">
        <v>203</v>
      </c>
      <c r="D15" s="3" t="s">
        <v>204</v>
      </c>
      <c r="E15" s="3" t="s">
        <v>205</v>
      </c>
      <c r="F15" s="3" t="s">
        <v>158</v>
      </c>
      <c r="G15" s="3" t="s">
        <v>199</v>
      </c>
      <c r="H15" s="3" t="s">
        <v>13</v>
      </c>
      <c r="I15" s="3" t="s">
        <v>206</v>
      </c>
      <c r="J15" s="3"/>
    </row>
    <row r="16" customFormat="false" ht="71.25" hidden="false" customHeight="true" outlineLevel="0" collapsed="false">
      <c r="A16" s="3" t="s">
        <v>207</v>
      </c>
      <c r="B16" s="3" t="s">
        <v>208</v>
      </c>
      <c r="C16" s="3" t="s">
        <v>209</v>
      </c>
      <c r="D16" s="3" t="s">
        <v>210</v>
      </c>
      <c r="E16" s="3" t="s">
        <v>211</v>
      </c>
      <c r="F16" s="3" t="s">
        <v>212</v>
      </c>
      <c r="G16" s="3" t="s">
        <v>213</v>
      </c>
      <c r="H16" s="3" t="s">
        <v>13</v>
      </c>
      <c r="I16" s="3" t="s">
        <v>214</v>
      </c>
      <c r="J16" s="3"/>
    </row>
    <row r="17" customFormat="false" ht="30.75" hidden="false" customHeight="true" outlineLevel="0" collapsed="false">
      <c r="A17" s="3" t="s">
        <v>215</v>
      </c>
      <c r="B17" s="3" t="s">
        <v>216</v>
      </c>
      <c r="C17" s="3" t="s">
        <v>217</v>
      </c>
      <c r="D17" s="3" t="s">
        <v>218</v>
      </c>
      <c r="E17" s="3" t="s">
        <v>219</v>
      </c>
      <c r="F17" s="3" t="s">
        <v>220</v>
      </c>
      <c r="G17" s="3" t="s">
        <v>221</v>
      </c>
      <c r="H17" s="3" t="s">
        <v>13</v>
      </c>
      <c r="I17" s="3" t="s">
        <v>222</v>
      </c>
      <c r="J17" s="3"/>
    </row>
    <row r="18" customFormat="false" ht="30.75" hidden="false" customHeight="true" outlineLevel="0" collapsed="false">
      <c r="A18" s="3" t="s">
        <v>223</v>
      </c>
      <c r="B18" s="3" t="s">
        <v>224</v>
      </c>
      <c r="C18" s="3" t="s">
        <v>225</v>
      </c>
      <c r="D18" s="3" t="s">
        <v>226</v>
      </c>
      <c r="E18" s="3" t="s">
        <v>227</v>
      </c>
      <c r="F18" s="3" t="s">
        <v>228</v>
      </c>
      <c r="G18" s="3" t="s">
        <v>229</v>
      </c>
      <c r="H18" s="3" t="s">
        <v>13</v>
      </c>
      <c r="I18" s="3" t="s">
        <v>230</v>
      </c>
      <c r="J18" s="3"/>
    </row>
    <row r="19" customFormat="false" ht="30.75" hidden="false" customHeight="true" outlineLevel="0" collapsed="false">
      <c r="A19" s="3" t="s">
        <v>231</v>
      </c>
      <c r="B19" s="3" t="s">
        <v>232</v>
      </c>
      <c r="C19" s="3" t="s">
        <v>233</v>
      </c>
      <c r="D19" s="3" t="s">
        <v>234</v>
      </c>
      <c r="E19" s="3" t="s">
        <v>235</v>
      </c>
      <c r="F19" s="3" t="s">
        <v>228</v>
      </c>
      <c r="G19" s="3" t="s">
        <v>236</v>
      </c>
      <c r="H19" s="3" t="s">
        <v>13</v>
      </c>
      <c r="I19" s="3" t="s">
        <v>237</v>
      </c>
      <c r="J19" s="3"/>
    </row>
    <row r="20" customFormat="false" ht="44.25" hidden="false" customHeight="true" outlineLevel="0" collapsed="false">
      <c r="A20" s="3" t="s">
        <v>238</v>
      </c>
      <c r="B20" s="3" t="s">
        <v>239</v>
      </c>
      <c r="C20" s="3" t="s">
        <v>240</v>
      </c>
      <c r="D20" s="3" t="s">
        <v>241</v>
      </c>
      <c r="E20" s="3" t="s">
        <v>242</v>
      </c>
      <c r="F20" s="3" t="s">
        <v>158</v>
      </c>
      <c r="G20" s="3" t="s">
        <v>172</v>
      </c>
      <c r="H20" s="3" t="s">
        <v>13</v>
      </c>
      <c r="I20" s="3" t="s">
        <v>243</v>
      </c>
      <c r="J20" s="3"/>
    </row>
    <row r="21" customFormat="false" ht="30.75" hidden="false" customHeight="true" outlineLevel="0" collapsed="false">
      <c r="A21" s="3" t="s">
        <v>244</v>
      </c>
      <c r="B21" s="3" t="s">
        <v>245</v>
      </c>
      <c r="C21" s="3" t="s">
        <v>246</v>
      </c>
      <c r="D21" s="3" t="s">
        <v>247</v>
      </c>
      <c r="E21" s="3" t="s">
        <v>248</v>
      </c>
      <c r="F21" s="3" t="s">
        <v>158</v>
      </c>
      <c r="G21" s="3" t="s">
        <v>166</v>
      </c>
      <c r="H21" s="3" t="s">
        <v>13</v>
      </c>
      <c r="I21" s="3" t="s">
        <v>249</v>
      </c>
      <c r="J21" s="3"/>
    </row>
    <row r="22" customFormat="false" ht="30.75" hidden="false" customHeight="true" outlineLevel="0" collapsed="false">
      <c r="A22" s="3" t="s">
        <v>250</v>
      </c>
      <c r="B22" s="3" t="s">
        <v>251</v>
      </c>
      <c r="C22" s="3" t="s">
        <v>252</v>
      </c>
      <c r="D22" s="3" t="s">
        <v>253</v>
      </c>
      <c r="E22" s="3" t="s">
        <v>254</v>
      </c>
      <c r="F22" s="3" t="s">
        <v>166</v>
      </c>
      <c r="G22" s="3" t="s">
        <v>185</v>
      </c>
      <c r="H22" s="3" t="s">
        <v>186</v>
      </c>
      <c r="I22" s="3" t="s">
        <v>255</v>
      </c>
      <c r="J22" s="3"/>
    </row>
    <row r="23" customFormat="false" ht="44.25" hidden="false" customHeight="true" outlineLevel="0" collapsed="false">
      <c r="A23" s="3" t="s">
        <v>256</v>
      </c>
      <c r="B23" s="3" t="s">
        <v>257</v>
      </c>
      <c r="C23" s="3" t="s">
        <v>258</v>
      </c>
      <c r="D23" s="3" t="s">
        <v>259</v>
      </c>
      <c r="E23" s="3" t="s">
        <v>260</v>
      </c>
      <c r="F23" s="3" t="s">
        <v>261</v>
      </c>
      <c r="G23" s="3" t="s">
        <v>172</v>
      </c>
      <c r="H23" s="3" t="s">
        <v>186</v>
      </c>
      <c r="I23" s="3" t="s">
        <v>262</v>
      </c>
      <c r="J23" s="3"/>
    </row>
    <row r="24" customFormat="false" ht="30.75" hidden="false" customHeight="true" outlineLevel="0" collapsed="false">
      <c r="A24" s="3" t="s">
        <v>263</v>
      </c>
      <c r="B24" s="3" t="s">
        <v>264</v>
      </c>
      <c r="C24" s="3" t="s">
        <v>265</v>
      </c>
      <c r="D24" s="3" t="s">
        <v>266</v>
      </c>
      <c r="E24" s="3" t="s">
        <v>267</v>
      </c>
      <c r="F24" s="3" t="s">
        <v>261</v>
      </c>
      <c r="G24" s="3" t="s">
        <v>268</v>
      </c>
      <c r="H24" s="3" t="s">
        <v>186</v>
      </c>
      <c r="I24" s="3" t="s">
        <v>269</v>
      </c>
      <c r="J24" s="3"/>
    </row>
    <row r="25" customFormat="false" ht="71.25" hidden="false" customHeight="true" outlineLevel="0" collapsed="false">
      <c r="A25" s="3" t="s">
        <v>270</v>
      </c>
      <c r="B25" s="3" t="s">
        <v>271</v>
      </c>
      <c r="C25" s="3" t="s">
        <v>272</v>
      </c>
      <c r="D25" s="3" t="s">
        <v>273</v>
      </c>
      <c r="E25" s="3" t="s">
        <v>274</v>
      </c>
      <c r="F25" s="3" t="s">
        <v>212</v>
      </c>
      <c r="G25" s="3" t="s">
        <v>275</v>
      </c>
      <c r="H25" s="3" t="s">
        <v>13</v>
      </c>
      <c r="I25" s="3" t="s">
        <v>276</v>
      </c>
      <c r="J25" s="3"/>
    </row>
    <row r="26" customFormat="false" ht="57.75" hidden="false" customHeight="true" outlineLevel="0" collapsed="false">
      <c r="A26" s="3" t="s">
        <v>277</v>
      </c>
      <c r="B26" s="3" t="s">
        <v>278</v>
      </c>
      <c r="C26" s="3" t="s">
        <v>279</v>
      </c>
      <c r="D26" s="3" t="s">
        <v>280</v>
      </c>
      <c r="E26" s="3" t="s">
        <v>281</v>
      </c>
      <c r="F26" s="3" t="s">
        <v>158</v>
      </c>
      <c r="G26" s="3" t="s">
        <v>282</v>
      </c>
      <c r="H26" s="3" t="s">
        <v>186</v>
      </c>
      <c r="I26" s="3" t="s">
        <v>283</v>
      </c>
      <c r="J26" s="3"/>
    </row>
    <row r="27" customFormat="false" ht="71.25" hidden="false" customHeight="true" outlineLevel="0" collapsed="false">
      <c r="A27" s="3" t="s">
        <v>284</v>
      </c>
      <c r="B27" s="3" t="s">
        <v>285</v>
      </c>
      <c r="C27" s="3" t="s">
        <v>272</v>
      </c>
      <c r="D27" s="3" t="s">
        <v>286</v>
      </c>
      <c r="E27" s="3" t="s">
        <v>211</v>
      </c>
      <c r="F27" s="3" t="s">
        <v>212</v>
      </c>
      <c r="G27" s="3" t="s">
        <v>287</v>
      </c>
      <c r="H27" s="3" t="s">
        <v>13</v>
      </c>
      <c r="I27" s="3" t="s">
        <v>288</v>
      </c>
      <c r="J27" s="3"/>
    </row>
    <row r="28" customFormat="false" ht="18" hidden="false" customHeight="true" outlineLevel="0" collapsed="false">
      <c r="A28" s="4" t="s">
        <v>289</v>
      </c>
      <c r="B28" s="4"/>
      <c r="C28" s="4"/>
      <c r="D28" s="4"/>
      <c r="E28" s="4"/>
      <c r="F28" s="4"/>
      <c r="G28" s="4"/>
      <c r="H28" s="4"/>
      <c r="I28" s="4"/>
      <c r="J28" s="3"/>
    </row>
    <row r="29" customFormat="false" ht="30.75" hidden="false" customHeight="true" outlineLevel="0" collapsed="false">
      <c r="A29" s="3" t="s">
        <v>290</v>
      </c>
      <c r="B29" s="3" t="s">
        <v>291</v>
      </c>
      <c r="C29" s="3" t="s">
        <v>292</v>
      </c>
      <c r="D29" s="3" t="s">
        <v>293</v>
      </c>
      <c r="E29" s="3" t="s">
        <v>294</v>
      </c>
      <c r="F29" s="3" t="s">
        <v>150</v>
      </c>
      <c r="G29" s="3" t="s">
        <v>151</v>
      </c>
      <c r="H29" s="3" t="s">
        <v>13</v>
      </c>
      <c r="I29" s="3" t="s">
        <v>295</v>
      </c>
      <c r="J29" s="3"/>
    </row>
    <row r="30" customFormat="false" ht="30.75" hidden="false" customHeight="true" outlineLevel="0" collapsed="false">
      <c r="A30" s="3" t="s">
        <v>296</v>
      </c>
      <c r="B30" s="3" t="s">
        <v>297</v>
      </c>
      <c r="C30" s="3" t="s">
        <v>298</v>
      </c>
      <c r="D30" s="3" t="s">
        <v>299</v>
      </c>
      <c r="E30" s="3" t="s">
        <v>300</v>
      </c>
      <c r="F30" s="3" t="s">
        <v>228</v>
      </c>
      <c r="G30" s="3" t="s">
        <v>301</v>
      </c>
      <c r="H30" s="3" t="s">
        <v>13</v>
      </c>
      <c r="I30" s="3" t="s">
        <v>295</v>
      </c>
      <c r="J30" s="3"/>
    </row>
    <row r="31" customFormat="false" ht="30.75" hidden="false" customHeight="true" outlineLevel="0" collapsed="false">
      <c r="A31" s="3" t="s">
        <v>302</v>
      </c>
      <c r="B31" s="3" t="s">
        <v>303</v>
      </c>
      <c r="C31" s="3" t="s">
        <v>304</v>
      </c>
      <c r="D31" s="3" t="s">
        <v>299</v>
      </c>
      <c r="E31" s="3" t="s">
        <v>305</v>
      </c>
      <c r="F31" s="3" t="s">
        <v>228</v>
      </c>
      <c r="G31" s="3" t="s">
        <v>301</v>
      </c>
      <c r="H31" s="3" t="s">
        <v>13</v>
      </c>
      <c r="I31" s="3" t="s">
        <v>295</v>
      </c>
      <c r="J31" s="3"/>
    </row>
    <row r="32" customFormat="false" ht="30.75" hidden="false" customHeight="true" outlineLevel="0" collapsed="false">
      <c r="A32" s="3" t="s">
        <v>306</v>
      </c>
      <c r="B32" s="3" t="s">
        <v>307</v>
      </c>
      <c r="C32" s="3" t="s">
        <v>308</v>
      </c>
      <c r="D32" s="3" t="s">
        <v>299</v>
      </c>
      <c r="E32" s="3" t="s">
        <v>309</v>
      </c>
      <c r="F32" s="3" t="s">
        <v>228</v>
      </c>
      <c r="G32" s="3" t="s">
        <v>301</v>
      </c>
      <c r="H32" s="3" t="s">
        <v>13</v>
      </c>
      <c r="I32" s="3" t="s">
        <v>295</v>
      </c>
      <c r="J32" s="3"/>
    </row>
    <row r="33" customFormat="false" ht="30.75" hidden="false" customHeight="true" outlineLevel="0" collapsed="false">
      <c r="A33" s="3" t="s">
        <v>310</v>
      </c>
      <c r="B33" s="3" t="s">
        <v>311</v>
      </c>
      <c r="C33" s="3" t="s">
        <v>312</v>
      </c>
      <c r="D33" s="3" t="s">
        <v>313</v>
      </c>
      <c r="E33" s="3" t="s">
        <v>314</v>
      </c>
      <c r="F33" s="3" t="s">
        <v>228</v>
      </c>
      <c r="G33" s="3" t="s">
        <v>301</v>
      </c>
      <c r="H33" s="3" t="s">
        <v>13</v>
      </c>
      <c r="I33" s="3" t="s">
        <v>295</v>
      </c>
      <c r="J33" s="3"/>
    </row>
    <row r="34" customFormat="false" ht="44.25" hidden="false" customHeight="true" outlineLevel="0" collapsed="false">
      <c r="A34" s="3" t="s">
        <v>315</v>
      </c>
      <c r="B34" s="3" t="s">
        <v>316</v>
      </c>
      <c r="C34" s="3" t="s">
        <v>317</v>
      </c>
      <c r="D34" s="3" t="s">
        <v>318</v>
      </c>
      <c r="E34" s="3" t="s">
        <v>319</v>
      </c>
      <c r="F34" s="3" t="s">
        <v>220</v>
      </c>
      <c r="G34" s="3" t="s">
        <v>320</v>
      </c>
      <c r="H34" s="3" t="s">
        <v>13</v>
      </c>
      <c r="I34" s="3" t="s">
        <v>295</v>
      </c>
      <c r="J34" s="3"/>
    </row>
    <row r="35" customFormat="false" ht="30.75" hidden="false" customHeight="true" outlineLevel="0" collapsed="false">
      <c r="A35" s="3" t="s">
        <v>321</v>
      </c>
      <c r="B35" s="3" t="s">
        <v>322</v>
      </c>
      <c r="C35" s="3" t="s">
        <v>323</v>
      </c>
      <c r="D35" s="3" t="s">
        <v>324</v>
      </c>
      <c r="E35" s="3" t="s">
        <v>309</v>
      </c>
      <c r="F35" s="3" t="s">
        <v>261</v>
      </c>
      <c r="G35" s="3" t="s">
        <v>325</v>
      </c>
      <c r="H35" s="3" t="s">
        <v>13</v>
      </c>
      <c r="I35" s="3" t="s">
        <v>295</v>
      </c>
      <c r="J35" s="3"/>
    </row>
    <row r="36" customFormat="false" ht="30.75" hidden="false" customHeight="true" outlineLevel="0" collapsed="false">
      <c r="A36" s="3" t="s">
        <v>326</v>
      </c>
      <c r="B36" s="3" t="s">
        <v>327</v>
      </c>
      <c r="C36" s="3" t="s">
        <v>328</v>
      </c>
      <c r="D36" s="3" t="s">
        <v>329</v>
      </c>
      <c r="E36" s="3" t="s">
        <v>330</v>
      </c>
      <c r="F36" s="3" t="s">
        <v>261</v>
      </c>
      <c r="G36" s="3" t="s">
        <v>325</v>
      </c>
      <c r="H36" s="3" t="s">
        <v>13</v>
      </c>
      <c r="I36" s="3" t="s">
        <v>295</v>
      </c>
      <c r="J36" s="3"/>
    </row>
    <row r="37" customFormat="false" ht="30.75" hidden="false" customHeight="true" outlineLevel="0" collapsed="false">
      <c r="A37" s="3" t="s">
        <v>331</v>
      </c>
      <c r="B37" s="3" t="s">
        <v>332</v>
      </c>
      <c r="C37" s="3" t="s">
        <v>333</v>
      </c>
      <c r="D37" s="3" t="s">
        <v>334</v>
      </c>
      <c r="E37" s="3" t="s">
        <v>309</v>
      </c>
      <c r="F37" s="3" t="s">
        <v>335</v>
      </c>
      <c r="G37" s="3" t="s">
        <v>336</v>
      </c>
      <c r="H37" s="3" t="s">
        <v>13</v>
      </c>
      <c r="I37" s="3" t="s">
        <v>295</v>
      </c>
      <c r="J37" s="3"/>
    </row>
    <row r="38" customFormat="false" ht="30.75" hidden="false" customHeight="true" outlineLevel="0" collapsed="false">
      <c r="A38" s="3" t="s">
        <v>337</v>
      </c>
      <c r="B38" s="3" t="s">
        <v>338</v>
      </c>
      <c r="C38" s="3" t="s">
        <v>339</v>
      </c>
      <c r="D38" s="3" t="s">
        <v>334</v>
      </c>
      <c r="E38" s="3" t="s">
        <v>340</v>
      </c>
      <c r="F38" s="3" t="s">
        <v>335</v>
      </c>
      <c r="G38" s="3" t="s">
        <v>336</v>
      </c>
      <c r="H38" s="3" t="s">
        <v>13</v>
      </c>
      <c r="I38" s="3" t="s">
        <v>295</v>
      </c>
      <c r="J38" s="3"/>
    </row>
    <row r="39" customFormat="false" ht="30.75" hidden="false" customHeight="true" outlineLevel="0" collapsed="false">
      <c r="A39" s="3" t="s">
        <v>341</v>
      </c>
      <c r="B39" s="3" t="s">
        <v>342</v>
      </c>
      <c r="C39" s="3" t="s">
        <v>343</v>
      </c>
      <c r="D39" s="3" t="s">
        <v>334</v>
      </c>
      <c r="E39" s="3" t="s">
        <v>344</v>
      </c>
      <c r="F39" s="3" t="s">
        <v>335</v>
      </c>
      <c r="G39" s="3" t="s">
        <v>336</v>
      </c>
      <c r="H39" s="3" t="s">
        <v>13</v>
      </c>
      <c r="I39" s="3" t="s">
        <v>295</v>
      </c>
      <c r="J39" s="3"/>
    </row>
    <row r="40" customFormat="false" ht="30.75" hidden="false" customHeight="true" outlineLevel="0" collapsed="false">
      <c r="A40" s="3" t="s">
        <v>345</v>
      </c>
      <c r="B40" s="3" t="s">
        <v>346</v>
      </c>
      <c r="C40" s="3" t="s">
        <v>347</v>
      </c>
      <c r="D40" s="3" t="s">
        <v>348</v>
      </c>
      <c r="E40" s="3" t="s">
        <v>349</v>
      </c>
      <c r="F40" s="3" t="s">
        <v>350</v>
      </c>
      <c r="G40" s="3" t="s">
        <v>351</v>
      </c>
      <c r="H40" s="3" t="s">
        <v>186</v>
      </c>
      <c r="I40" s="3" t="s">
        <v>352</v>
      </c>
      <c r="J40" s="3"/>
    </row>
    <row r="41" customFormat="false" ht="30.75" hidden="false" customHeight="true" outlineLevel="0" collapsed="false">
      <c r="A41" s="3" t="s">
        <v>353</v>
      </c>
      <c r="B41" s="3" t="s">
        <v>354</v>
      </c>
      <c r="C41" s="3" t="s">
        <v>355</v>
      </c>
      <c r="D41" s="3" t="s">
        <v>356</v>
      </c>
      <c r="E41" s="3" t="s">
        <v>357</v>
      </c>
      <c r="F41" s="3" t="s">
        <v>350</v>
      </c>
      <c r="G41" s="3" t="s">
        <v>351</v>
      </c>
      <c r="H41" s="3" t="s">
        <v>186</v>
      </c>
      <c r="I41" s="3" t="s">
        <v>352</v>
      </c>
      <c r="J41" s="3"/>
    </row>
    <row r="42" customFormat="false" ht="30.75" hidden="false" customHeight="true" outlineLevel="0" collapsed="false">
      <c r="A42" s="3" t="s">
        <v>358</v>
      </c>
      <c r="B42" s="3" t="s">
        <v>359</v>
      </c>
      <c r="C42" s="3" t="s">
        <v>360</v>
      </c>
      <c r="D42" s="3" t="s">
        <v>361</v>
      </c>
      <c r="E42" s="3" t="s">
        <v>362</v>
      </c>
      <c r="F42" s="3" t="s">
        <v>350</v>
      </c>
      <c r="G42" s="3" t="s">
        <v>351</v>
      </c>
      <c r="H42" s="3" t="s">
        <v>186</v>
      </c>
      <c r="I42" s="3" t="s">
        <v>352</v>
      </c>
      <c r="J42" s="3"/>
    </row>
    <row r="43" customFormat="false" ht="57.75" hidden="false" customHeight="true" outlineLevel="0" collapsed="false">
      <c r="A43" s="3" t="s">
        <v>363</v>
      </c>
      <c r="B43" s="3" t="s">
        <v>364</v>
      </c>
      <c r="C43" s="3" t="s">
        <v>365</v>
      </c>
      <c r="D43" s="3" t="s">
        <v>366</v>
      </c>
      <c r="E43" s="3" t="s">
        <v>367</v>
      </c>
      <c r="F43" s="3" t="s">
        <v>212</v>
      </c>
      <c r="G43" s="3" t="s">
        <v>368</v>
      </c>
      <c r="H43" s="3" t="s">
        <v>13</v>
      </c>
      <c r="I43" s="3" t="s">
        <v>369</v>
      </c>
      <c r="J43" s="3"/>
    </row>
    <row r="44" customFormat="false" ht="30.75" hidden="false" customHeight="true" outlineLevel="0" collapsed="false">
      <c r="A44" s="3" t="s">
        <v>370</v>
      </c>
      <c r="B44" s="3" t="s">
        <v>371</v>
      </c>
      <c r="C44" s="3" t="s">
        <v>372</v>
      </c>
      <c r="D44" s="3" t="s">
        <v>373</v>
      </c>
      <c r="E44" s="3" t="s">
        <v>374</v>
      </c>
      <c r="F44" s="3" t="s">
        <v>375</v>
      </c>
      <c r="G44" s="3" t="s">
        <v>351</v>
      </c>
      <c r="H44" s="3" t="s">
        <v>186</v>
      </c>
      <c r="I44" s="3" t="s">
        <v>352</v>
      </c>
      <c r="J44" s="3"/>
    </row>
    <row r="45" customFormat="false" ht="71.25" hidden="false" customHeight="true" outlineLevel="0" collapsed="false">
      <c r="A45" s="3" t="s">
        <v>376</v>
      </c>
      <c r="B45" s="3" t="s">
        <v>377</v>
      </c>
      <c r="C45" s="3" t="s">
        <v>378</v>
      </c>
      <c r="D45" s="3" t="s">
        <v>379</v>
      </c>
      <c r="E45" s="3" t="s">
        <v>380</v>
      </c>
      <c r="F45" s="3" t="s">
        <v>212</v>
      </c>
      <c r="G45" s="3" t="s">
        <v>381</v>
      </c>
      <c r="H45" s="3" t="s">
        <v>13</v>
      </c>
      <c r="I45" s="3" t="s">
        <v>382</v>
      </c>
      <c r="J45" s="3"/>
    </row>
    <row r="46" customFormat="false" ht="57.75" hidden="false" customHeight="true" outlineLevel="0" collapsed="false">
      <c r="A46" s="3" t="s">
        <v>383</v>
      </c>
      <c r="B46" s="3" t="s">
        <v>384</v>
      </c>
      <c r="C46" s="3" t="s">
        <v>385</v>
      </c>
      <c r="D46" s="3" t="s">
        <v>386</v>
      </c>
      <c r="E46" s="3" t="s">
        <v>387</v>
      </c>
      <c r="F46" s="3" t="s">
        <v>212</v>
      </c>
      <c r="G46" s="3" t="s">
        <v>388</v>
      </c>
      <c r="H46" s="3" t="s">
        <v>13</v>
      </c>
      <c r="I46" s="3" t="s">
        <v>389</v>
      </c>
      <c r="J46" s="3"/>
    </row>
    <row r="47" customFormat="false" ht="71.25" hidden="false" customHeight="true" outlineLevel="0" collapsed="false">
      <c r="A47" s="3" t="s">
        <v>390</v>
      </c>
      <c r="B47" s="3" t="s">
        <v>391</v>
      </c>
      <c r="C47" s="3" t="s">
        <v>392</v>
      </c>
      <c r="D47" s="3" t="s">
        <v>393</v>
      </c>
      <c r="E47" s="3" t="s">
        <v>394</v>
      </c>
      <c r="F47" s="3" t="s">
        <v>212</v>
      </c>
      <c r="G47" s="3" t="s">
        <v>395</v>
      </c>
      <c r="H47" s="3" t="s">
        <v>13</v>
      </c>
      <c r="I47" s="3" t="s">
        <v>396</v>
      </c>
      <c r="J47" s="3"/>
    </row>
    <row r="48" customFormat="false" ht="67.5" hidden="false" customHeight="true" outlineLevel="0" collapsed="false">
      <c r="A48" s="3" t="s">
        <v>397</v>
      </c>
      <c r="B48" s="3" t="s">
        <v>398</v>
      </c>
      <c r="C48" s="3" t="s">
        <v>399</v>
      </c>
      <c r="D48" s="3" t="s">
        <v>400</v>
      </c>
      <c r="E48" s="3" t="s">
        <v>401</v>
      </c>
      <c r="F48" s="3" t="s">
        <v>158</v>
      </c>
      <c r="G48" s="3" t="s">
        <v>402</v>
      </c>
      <c r="H48" s="3" t="s">
        <v>13</v>
      </c>
      <c r="I48" s="3" t="s">
        <v>403</v>
      </c>
      <c r="J48" s="3"/>
    </row>
    <row r="49" customFormat="false" ht="54.75" hidden="false" customHeight="true" outlineLevel="0" collapsed="false">
      <c r="A49" s="3" t="s">
        <v>404</v>
      </c>
      <c r="B49" s="3" t="s">
        <v>405</v>
      </c>
      <c r="C49" s="3" t="s">
        <v>406</v>
      </c>
      <c r="D49" s="3" t="s">
        <v>400</v>
      </c>
      <c r="E49" s="3" t="s">
        <v>407</v>
      </c>
      <c r="F49" s="3" t="s">
        <v>158</v>
      </c>
      <c r="G49" s="3" t="s">
        <v>325</v>
      </c>
      <c r="H49" s="3" t="s">
        <v>13</v>
      </c>
      <c r="I49" s="3" t="s">
        <v>403</v>
      </c>
      <c r="J49" s="3"/>
    </row>
    <row r="50" customFormat="false" ht="54.75" hidden="false" customHeight="true" outlineLevel="0" collapsed="false">
      <c r="A50" s="3" t="s">
        <v>408</v>
      </c>
      <c r="B50" s="3" t="s">
        <v>409</v>
      </c>
      <c r="C50" s="3" t="s">
        <v>410</v>
      </c>
      <c r="D50" s="3" t="s">
        <v>411</v>
      </c>
      <c r="E50" s="3" t="s">
        <v>412</v>
      </c>
      <c r="F50" s="3" t="s">
        <v>335</v>
      </c>
      <c r="G50" s="3" t="s">
        <v>336</v>
      </c>
      <c r="H50" s="3" t="s">
        <v>13</v>
      </c>
      <c r="I50" s="3" t="s">
        <v>413</v>
      </c>
      <c r="J50" s="3"/>
    </row>
    <row r="51" customFormat="false" ht="54.75" hidden="false" customHeight="true" outlineLevel="0" collapsed="false">
      <c r="A51" s="3" t="s">
        <v>414</v>
      </c>
      <c r="B51" s="3" t="s">
        <v>415</v>
      </c>
      <c r="C51" s="3" t="s">
        <v>416</v>
      </c>
      <c r="D51" s="3" t="s">
        <v>411</v>
      </c>
      <c r="E51" s="3" t="s">
        <v>417</v>
      </c>
      <c r="F51" s="3" t="s">
        <v>335</v>
      </c>
      <c r="G51" s="3" t="s">
        <v>336</v>
      </c>
      <c r="H51" s="3" t="s">
        <v>13</v>
      </c>
      <c r="I51" s="3" t="s">
        <v>413</v>
      </c>
      <c r="J51" s="3"/>
    </row>
    <row r="52" customFormat="false" ht="54.75" hidden="false" customHeight="true" outlineLevel="0" collapsed="false">
      <c r="A52" s="3" t="s">
        <v>418</v>
      </c>
      <c r="B52" s="3" t="s">
        <v>419</v>
      </c>
      <c r="C52" s="3" t="s">
        <v>420</v>
      </c>
      <c r="D52" s="3" t="s">
        <v>421</v>
      </c>
      <c r="E52" s="3" t="s">
        <v>422</v>
      </c>
      <c r="F52" s="3" t="s">
        <v>423</v>
      </c>
      <c r="G52" s="3" t="s">
        <v>424</v>
      </c>
      <c r="H52" s="3" t="s">
        <v>13</v>
      </c>
      <c r="I52" s="3" t="s">
        <v>425</v>
      </c>
      <c r="J52" s="3"/>
    </row>
    <row r="53" customFormat="false" ht="54.75" hidden="false" customHeight="true" outlineLevel="0" collapsed="false">
      <c r="A53" s="3" t="s">
        <v>426</v>
      </c>
      <c r="B53" s="3" t="s">
        <v>427</v>
      </c>
      <c r="C53" s="3" t="s">
        <v>428</v>
      </c>
      <c r="D53" s="3" t="s">
        <v>421</v>
      </c>
      <c r="E53" s="3" t="s">
        <v>429</v>
      </c>
      <c r="F53" s="3" t="s">
        <v>423</v>
      </c>
      <c r="G53" s="3" t="s">
        <v>424</v>
      </c>
      <c r="H53" s="3" t="s">
        <v>13</v>
      </c>
      <c r="I53" s="3" t="s">
        <v>425</v>
      </c>
      <c r="J53" s="3"/>
    </row>
    <row r="54" customFormat="false" ht="54.75" hidden="false" customHeight="true" outlineLevel="0" collapsed="false">
      <c r="A54" s="3" t="s">
        <v>430</v>
      </c>
      <c r="B54" s="3" t="s">
        <v>431</v>
      </c>
      <c r="C54" s="3" t="s">
        <v>432</v>
      </c>
      <c r="D54" s="3" t="s">
        <v>421</v>
      </c>
      <c r="E54" s="3" t="s">
        <v>433</v>
      </c>
      <c r="F54" s="3" t="s">
        <v>434</v>
      </c>
      <c r="G54" s="3" t="s">
        <v>435</v>
      </c>
      <c r="H54" s="3" t="s">
        <v>13</v>
      </c>
      <c r="I54" s="3" t="s">
        <v>425</v>
      </c>
      <c r="J54" s="3"/>
    </row>
    <row r="55" customFormat="false" ht="54.75" hidden="false" customHeight="true" outlineLevel="0" collapsed="false">
      <c r="A55" s="3" t="s">
        <v>436</v>
      </c>
      <c r="B55" s="3" t="s">
        <v>437</v>
      </c>
      <c r="C55" s="3" t="s">
        <v>438</v>
      </c>
      <c r="D55" s="3" t="s">
        <v>439</v>
      </c>
      <c r="E55" s="3" t="s">
        <v>440</v>
      </c>
      <c r="F55" s="3" t="s">
        <v>434</v>
      </c>
      <c r="G55" s="3" t="s">
        <v>435</v>
      </c>
      <c r="H55" s="3" t="s">
        <v>13</v>
      </c>
      <c r="I55" s="3" t="s">
        <v>425</v>
      </c>
      <c r="J55" s="3"/>
    </row>
    <row r="56" customFormat="false" ht="54.75" hidden="false" customHeight="true" outlineLevel="0" collapsed="false">
      <c r="A56" s="3" t="s">
        <v>441</v>
      </c>
      <c r="B56" s="3" t="s">
        <v>442</v>
      </c>
      <c r="C56" s="3" t="s">
        <v>443</v>
      </c>
      <c r="D56" s="3" t="s">
        <v>439</v>
      </c>
      <c r="E56" s="3" t="s">
        <v>444</v>
      </c>
      <c r="F56" s="3" t="s">
        <v>434</v>
      </c>
      <c r="G56" s="3" t="s">
        <v>435</v>
      </c>
      <c r="H56" s="3" t="s">
        <v>13</v>
      </c>
      <c r="I56" s="3" t="s">
        <v>425</v>
      </c>
      <c r="J56" s="3"/>
    </row>
    <row r="57" customFormat="false" ht="54.75" hidden="false" customHeight="true" outlineLevel="0" collapsed="false">
      <c r="A57" s="3" t="s">
        <v>445</v>
      </c>
      <c r="B57" s="3" t="s">
        <v>446</v>
      </c>
      <c r="C57" s="3" t="s">
        <v>447</v>
      </c>
      <c r="D57" s="3" t="s">
        <v>421</v>
      </c>
      <c r="E57" s="3" t="s">
        <v>448</v>
      </c>
      <c r="F57" s="3" t="s">
        <v>423</v>
      </c>
      <c r="G57" s="3" t="s">
        <v>424</v>
      </c>
      <c r="H57" s="3" t="s">
        <v>13</v>
      </c>
      <c r="I57" s="3" t="s">
        <v>425</v>
      </c>
      <c r="J57" s="3"/>
    </row>
    <row r="58" customFormat="false" ht="54.75" hidden="false" customHeight="true" outlineLevel="0" collapsed="false">
      <c r="A58" s="3" t="s">
        <v>449</v>
      </c>
      <c r="B58" s="3" t="s">
        <v>450</v>
      </c>
      <c r="C58" s="3" t="s">
        <v>451</v>
      </c>
      <c r="D58" s="3" t="s">
        <v>421</v>
      </c>
      <c r="E58" s="3" t="s">
        <v>452</v>
      </c>
      <c r="F58" s="3" t="s">
        <v>423</v>
      </c>
      <c r="G58" s="3" t="s">
        <v>424</v>
      </c>
      <c r="H58" s="3" t="s">
        <v>13</v>
      </c>
      <c r="I58" s="3" t="s">
        <v>425</v>
      </c>
      <c r="J58" s="3"/>
    </row>
    <row r="59" customFormat="false" ht="54.75" hidden="false" customHeight="true" outlineLevel="0" collapsed="false">
      <c r="A59" s="3" t="s">
        <v>453</v>
      </c>
      <c r="B59" s="3" t="s">
        <v>454</v>
      </c>
      <c r="C59" s="3" t="s">
        <v>455</v>
      </c>
      <c r="D59" s="3" t="s">
        <v>456</v>
      </c>
      <c r="E59" s="3" t="s">
        <v>457</v>
      </c>
      <c r="F59" s="3" t="s">
        <v>458</v>
      </c>
      <c r="G59" s="3" t="s">
        <v>459</v>
      </c>
      <c r="H59" s="3" t="s">
        <v>13</v>
      </c>
      <c r="I59" s="3" t="s">
        <v>460</v>
      </c>
      <c r="J59" s="3"/>
    </row>
    <row r="60" customFormat="false" ht="58.5" hidden="false" customHeight="true" outlineLevel="0" collapsed="false">
      <c r="A60" s="11" t="s">
        <v>461</v>
      </c>
      <c r="B60" s="11"/>
      <c r="C60" s="11"/>
      <c r="D60" s="11"/>
      <c r="E60" s="11"/>
      <c r="F60" s="11"/>
      <c r="G60" s="11"/>
      <c r="H60" s="11"/>
      <c r="I60" s="11"/>
      <c r="J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</row>
  </sheetData>
  <mergeCells count="2">
    <mergeCell ref="A1:I1"/>
    <mergeCell ref="A60:I60"/>
  </mergeCells>
  <dataValidations count="1">
    <dataValidation allowBlank="true" errorStyle="stop" operator="between" showDropDown="false" showErrorMessage="false" showInputMessage="false" sqref="H4:H103" type="list">
      <formula1>"Por diseñar,Rojo,Verde,Refactor"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4"/>
    <col collapsed="false" customWidth="true" hidden="false" outlineLevel="0" max="3" min="3" style="1" width="32"/>
    <col collapsed="false" customWidth="true" hidden="false" outlineLevel="0" max="4" min="4" style="1" width="30"/>
    <col collapsed="false" customWidth="true" hidden="false" outlineLevel="0" max="5" min="5" style="1" width="32"/>
    <col collapsed="false" customWidth="true" hidden="false" outlineLevel="0" max="6" min="6" style="1" width="22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20.25" hidden="false" customHeight="true" outlineLevel="0" collapsed="false">
      <c r="A1" s="2" t="s">
        <v>462</v>
      </c>
      <c r="B1" s="2"/>
      <c r="C1" s="2"/>
      <c r="D1" s="2"/>
      <c r="E1" s="2"/>
      <c r="F1" s="2"/>
      <c r="G1" s="2"/>
      <c r="H1" s="2"/>
      <c r="I1" s="3"/>
      <c r="J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24</v>
      </c>
      <c r="B3" s="4" t="s">
        <v>463</v>
      </c>
      <c r="C3" s="4" t="s">
        <v>464</v>
      </c>
      <c r="D3" s="4" t="s">
        <v>465</v>
      </c>
      <c r="E3" s="4" t="s">
        <v>466</v>
      </c>
      <c r="F3" s="4" t="s">
        <v>467</v>
      </c>
      <c r="G3" s="4" t="s">
        <v>468</v>
      </c>
      <c r="H3" s="4" t="s">
        <v>9</v>
      </c>
      <c r="I3" s="3"/>
      <c r="J3" s="3"/>
    </row>
    <row r="4" customFormat="false" ht="27.75" hidden="false" customHeight="true" outlineLevel="0" collapsed="false">
      <c r="A4" s="3" t="s">
        <v>469</v>
      </c>
      <c r="B4" s="10" t="s">
        <v>470</v>
      </c>
      <c r="C4" s="10" t="s">
        <v>471</v>
      </c>
      <c r="D4" s="10" t="s">
        <v>295</v>
      </c>
      <c r="E4" s="10" t="s">
        <v>472</v>
      </c>
      <c r="F4" s="10" t="s">
        <v>473</v>
      </c>
      <c r="G4" s="10" t="s">
        <v>474</v>
      </c>
      <c r="H4" s="10" t="s">
        <v>475</v>
      </c>
      <c r="I4" s="3"/>
      <c r="J4" s="3"/>
    </row>
    <row r="5" customFormat="false" ht="27.75" hidden="false" customHeight="true" outlineLevel="0" collapsed="false">
      <c r="A5" s="3" t="s">
        <v>476</v>
      </c>
      <c r="B5" s="10" t="s">
        <v>470</v>
      </c>
      <c r="C5" s="10" t="s">
        <v>477</v>
      </c>
      <c r="D5" s="10" t="s">
        <v>478</v>
      </c>
      <c r="E5" s="10" t="s">
        <v>479</v>
      </c>
      <c r="F5" s="10" t="s">
        <v>480</v>
      </c>
      <c r="G5" s="10" t="s">
        <v>474</v>
      </c>
      <c r="H5" s="10" t="s">
        <v>475</v>
      </c>
      <c r="I5" s="3"/>
      <c r="J5" s="3"/>
    </row>
    <row r="6" customFormat="false" ht="93" hidden="false" customHeight="true" outlineLevel="0" collapsed="false">
      <c r="A6" s="3" t="s">
        <v>481</v>
      </c>
      <c r="B6" s="10" t="s">
        <v>470</v>
      </c>
      <c r="C6" s="10" t="s">
        <v>482</v>
      </c>
      <c r="D6" s="10" t="s">
        <v>483</v>
      </c>
      <c r="E6" s="10" t="s">
        <v>484</v>
      </c>
      <c r="F6" s="10" t="s">
        <v>485</v>
      </c>
      <c r="G6" s="10" t="s">
        <v>474</v>
      </c>
      <c r="H6" s="10" t="s">
        <v>475</v>
      </c>
      <c r="I6" s="3"/>
      <c r="J6" s="3"/>
    </row>
    <row r="7" customFormat="false" ht="41.25" hidden="false" customHeight="true" outlineLevel="0" collapsed="false">
      <c r="A7" s="3" t="s">
        <v>486</v>
      </c>
      <c r="B7" s="10" t="s">
        <v>487</v>
      </c>
      <c r="C7" s="10" t="s">
        <v>488</v>
      </c>
      <c r="D7" s="10" t="s">
        <v>489</v>
      </c>
      <c r="E7" s="10" t="s">
        <v>490</v>
      </c>
      <c r="F7" s="10" t="s">
        <v>491</v>
      </c>
      <c r="G7" s="10" t="s">
        <v>474</v>
      </c>
      <c r="H7" s="10" t="s">
        <v>475</v>
      </c>
      <c r="I7" s="3"/>
      <c r="J7" s="3"/>
    </row>
    <row r="8" customFormat="false" ht="80.25" hidden="false" customHeight="true" outlineLevel="0" collapsed="false">
      <c r="A8" s="3" t="s">
        <v>492</v>
      </c>
      <c r="B8" s="10" t="s">
        <v>493</v>
      </c>
      <c r="C8" s="10" t="s">
        <v>494</v>
      </c>
      <c r="D8" s="10" t="s">
        <v>495</v>
      </c>
      <c r="E8" s="10" t="s">
        <v>496</v>
      </c>
      <c r="F8" s="10" t="s">
        <v>491</v>
      </c>
      <c r="G8" s="10" t="s">
        <v>474</v>
      </c>
      <c r="H8" s="10" t="s">
        <v>475</v>
      </c>
      <c r="I8" s="3"/>
      <c r="J8" s="3"/>
    </row>
    <row r="9" customFormat="false" ht="131.25" hidden="false" customHeight="true" outlineLevel="0" collapsed="false">
      <c r="A9" s="3" t="s">
        <v>497</v>
      </c>
      <c r="B9" s="10" t="s">
        <v>498</v>
      </c>
      <c r="C9" s="10" t="s">
        <v>499</v>
      </c>
      <c r="D9" s="10" t="s">
        <v>500</v>
      </c>
      <c r="E9" s="10" t="s">
        <v>501</v>
      </c>
      <c r="F9" s="10" t="s">
        <v>491</v>
      </c>
      <c r="G9" s="10" t="s">
        <v>474</v>
      </c>
      <c r="H9" s="10" t="s">
        <v>475</v>
      </c>
      <c r="I9" s="3"/>
      <c r="J9" s="3"/>
    </row>
    <row r="10" customFormat="false" ht="30.75" hidden="false" customHeight="true" outlineLevel="0" collapsed="false">
      <c r="A10" s="3" t="s">
        <v>502</v>
      </c>
      <c r="B10" s="10" t="s">
        <v>498</v>
      </c>
      <c r="C10" s="10" t="s">
        <v>503</v>
      </c>
      <c r="D10" s="10" t="s">
        <v>504</v>
      </c>
      <c r="E10" s="10" t="s">
        <v>505</v>
      </c>
      <c r="F10" s="10" t="s">
        <v>506</v>
      </c>
      <c r="G10" s="10" t="s">
        <v>474</v>
      </c>
      <c r="H10" s="10" t="s">
        <v>475</v>
      </c>
      <c r="I10" s="3"/>
      <c r="J10" s="3"/>
    </row>
    <row r="11" customFormat="false" ht="71.25" hidden="false" customHeight="true" outlineLevel="0" collapsed="false">
      <c r="A11" s="3" t="s">
        <v>507</v>
      </c>
      <c r="B11" s="10" t="s">
        <v>508</v>
      </c>
      <c r="C11" s="10" t="s">
        <v>509</v>
      </c>
      <c r="D11" s="10" t="s">
        <v>510</v>
      </c>
      <c r="E11" s="10" t="s">
        <v>511</v>
      </c>
      <c r="F11" s="10" t="s">
        <v>506</v>
      </c>
      <c r="G11" s="10" t="s">
        <v>474</v>
      </c>
      <c r="H11" s="10" t="s">
        <v>475</v>
      </c>
      <c r="I11" s="3"/>
      <c r="J11" s="3"/>
    </row>
    <row r="12" customFormat="false" ht="44.25" hidden="false" customHeight="true" outlineLevel="0" collapsed="false">
      <c r="A12" s="3" t="s">
        <v>512</v>
      </c>
      <c r="B12" s="10" t="s">
        <v>513</v>
      </c>
      <c r="C12" s="10" t="s">
        <v>514</v>
      </c>
      <c r="D12" s="10" t="s">
        <v>515</v>
      </c>
      <c r="E12" s="10" t="s">
        <v>516</v>
      </c>
      <c r="F12" s="10" t="s">
        <v>517</v>
      </c>
      <c r="G12" s="10" t="s">
        <v>474</v>
      </c>
      <c r="H12" s="10" t="s">
        <v>475</v>
      </c>
      <c r="I12" s="3"/>
      <c r="J12" s="3"/>
    </row>
    <row r="13" customFormat="false" ht="156.75" hidden="false" customHeight="true" outlineLevel="0" collapsed="false">
      <c r="A13" s="3" t="s">
        <v>518</v>
      </c>
      <c r="B13" s="10" t="s">
        <v>513</v>
      </c>
      <c r="C13" s="10" t="s">
        <v>519</v>
      </c>
      <c r="D13" s="10" t="s">
        <v>520</v>
      </c>
      <c r="E13" s="10" t="s">
        <v>521</v>
      </c>
      <c r="F13" s="10" t="s">
        <v>522</v>
      </c>
      <c r="G13" s="10" t="s">
        <v>474</v>
      </c>
      <c r="H13" s="10" t="s">
        <v>475</v>
      </c>
      <c r="I13" s="3"/>
      <c r="J13" s="3"/>
    </row>
    <row r="14" customFormat="false" ht="44.25" hidden="false" customHeight="true" outlineLevel="0" collapsed="false">
      <c r="A14" s="3" t="s">
        <v>523</v>
      </c>
      <c r="B14" s="10" t="s">
        <v>498</v>
      </c>
      <c r="C14" s="10" t="s">
        <v>524</v>
      </c>
      <c r="D14" s="10" t="s">
        <v>525</v>
      </c>
      <c r="E14" s="10" t="s">
        <v>526</v>
      </c>
      <c r="F14" s="10" t="s">
        <v>527</v>
      </c>
      <c r="G14" s="10" t="s">
        <v>474</v>
      </c>
      <c r="H14" s="10" t="s">
        <v>475</v>
      </c>
      <c r="I14" s="3"/>
      <c r="J14" s="3"/>
    </row>
    <row r="15" customFormat="false" ht="144" hidden="false" customHeight="true" outlineLevel="0" collapsed="false">
      <c r="A15" s="3" t="s">
        <v>528</v>
      </c>
      <c r="B15" s="10" t="s">
        <v>513</v>
      </c>
      <c r="C15" s="10" t="s">
        <v>529</v>
      </c>
      <c r="D15" s="10" t="s">
        <v>530</v>
      </c>
      <c r="E15" s="10" t="s">
        <v>531</v>
      </c>
      <c r="F15" s="10" t="s">
        <v>532</v>
      </c>
      <c r="G15" s="10" t="s">
        <v>474</v>
      </c>
      <c r="H15" s="10" t="s">
        <v>475</v>
      </c>
      <c r="I15" s="3"/>
      <c r="J15" s="3"/>
    </row>
    <row r="16" customFormat="false" ht="71.25" hidden="false" customHeight="true" outlineLevel="0" collapsed="false">
      <c r="A16" s="3" t="s">
        <v>533</v>
      </c>
      <c r="B16" s="10" t="s">
        <v>513</v>
      </c>
      <c r="C16" s="10" t="s">
        <v>534</v>
      </c>
      <c r="D16" s="10" t="s">
        <v>535</v>
      </c>
      <c r="E16" s="10" t="s">
        <v>536</v>
      </c>
      <c r="F16" s="10" t="s">
        <v>522</v>
      </c>
      <c r="G16" s="10" t="s">
        <v>474</v>
      </c>
      <c r="H16" s="10" t="s">
        <v>475</v>
      </c>
      <c r="I16" s="3"/>
      <c r="J16" s="3"/>
    </row>
    <row r="17" customFormat="false" ht="54.75" hidden="false" customHeight="true" outlineLevel="0" collapsed="false">
      <c r="A17" s="3" t="s">
        <v>537</v>
      </c>
      <c r="B17" s="3" t="s">
        <v>470</v>
      </c>
      <c r="C17" s="3" t="s">
        <v>538</v>
      </c>
      <c r="D17" s="3" t="s">
        <v>539</v>
      </c>
      <c r="E17" s="3" t="s">
        <v>540</v>
      </c>
      <c r="F17" s="3" t="s">
        <v>541</v>
      </c>
      <c r="G17" s="3" t="s">
        <v>474</v>
      </c>
      <c r="H17" s="3" t="s">
        <v>475</v>
      </c>
      <c r="I17" s="3"/>
      <c r="J17" s="3"/>
    </row>
    <row r="18" customFormat="false" ht="15" hidden="false" customHeight="true" outlineLevel="0" collapsed="false">
      <c r="A18" s="3" t="s">
        <v>542</v>
      </c>
      <c r="B18" s="3" t="s">
        <v>513</v>
      </c>
      <c r="C18" s="3" t="s">
        <v>543</v>
      </c>
      <c r="D18" s="3" t="s">
        <v>544</v>
      </c>
      <c r="E18" s="3" t="s">
        <v>545</v>
      </c>
      <c r="F18" s="3" t="s">
        <v>506</v>
      </c>
      <c r="G18" s="3" t="s">
        <v>474</v>
      </c>
      <c r="H18" s="3" t="s">
        <v>475</v>
      </c>
      <c r="I18" s="3"/>
      <c r="J18" s="3"/>
    </row>
    <row r="19" customFormat="false" ht="67.5" hidden="false" customHeight="true" outlineLevel="0" collapsed="false">
      <c r="A19" s="3" t="s">
        <v>546</v>
      </c>
      <c r="B19" s="3" t="s">
        <v>470</v>
      </c>
      <c r="C19" s="3" t="s">
        <v>547</v>
      </c>
      <c r="D19" s="3" t="s">
        <v>548</v>
      </c>
      <c r="E19" s="3" t="s">
        <v>549</v>
      </c>
      <c r="F19" s="3" t="s">
        <v>550</v>
      </c>
      <c r="G19" s="3" t="s">
        <v>474</v>
      </c>
      <c r="H19" s="3" t="s">
        <v>475</v>
      </c>
      <c r="I19" s="3"/>
      <c r="J19" s="3"/>
    </row>
    <row r="20" customFormat="false" ht="105.75" hidden="false" customHeight="true" outlineLevel="0" collapsed="false">
      <c r="A20" s="3" t="s">
        <v>551</v>
      </c>
      <c r="B20" s="3" t="s">
        <v>513</v>
      </c>
      <c r="C20" s="3" t="s">
        <v>552</v>
      </c>
      <c r="D20" s="3" t="s">
        <v>553</v>
      </c>
      <c r="E20" s="3" t="s">
        <v>554</v>
      </c>
      <c r="F20" s="3" t="s">
        <v>532</v>
      </c>
      <c r="G20" s="3" t="s">
        <v>474</v>
      </c>
      <c r="H20" s="3" t="s">
        <v>475</v>
      </c>
      <c r="I20" s="3"/>
      <c r="J20" s="3"/>
    </row>
    <row r="21" customFormat="false" ht="67.5" hidden="false" customHeight="true" outlineLevel="0" collapsed="false">
      <c r="A21" s="3" t="s">
        <v>555</v>
      </c>
      <c r="B21" s="3" t="s">
        <v>513</v>
      </c>
      <c r="C21" s="3" t="s">
        <v>556</v>
      </c>
      <c r="D21" s="3" t="s">
        <v>557</v>
      </c>
      <c r="E21" s="3" t="s">
        <v>558</v>
      </c>
      <c r="F21" s="3" t="s">
        <v>559</v>
      </c>
      <c r="G21" s="3" t="s">
        <v>474</v>
      </c>
      <c r="H21" s="3" t="s">
        <v>475</v>
      </c>
      <c r="I21" s="3"/>
      <c r="J21" s="3"/>
    </row>
    <row r="22" customFormat="false" ht="80.25" hidden="false" customHeight="true" outlineLevel="0" collapsed="false">
      <c r="A22" s="3" t="s">
        <v>560</v>
      </c>
      <c r="B22" s="3" t="s">
        <v>561</v>
      </c>
      <c r="C22" s="3" t="s">
        <v>562</v>
      </c>
      <c r="D22" s="3" t="s">
        <v>563</v>
      </c>
      <c r="E22" s="3" t="s">
        <v>564</v>
      </c>
      <c r="F22" s="3" t="s">
        <v>491</v>
      </c>
      <c r="G22" s="3" t="s">
        <v>474</v>
      </c>
      <c r="H22" s="3" t="s">
        <v>475</v>
      </c>
      <c r="I22" s="3"/>
      <c r="J22" s="3"/>
    </row>
    <row r="23" customFormat="false" ht="80.25" hidden="false" customHeight="true" outlineLevel="0" collapsed="false">
      <c r="A23" s="3" t="s">
        <v>565</v>
      </c>
      <c r="B23" s="3" t="s">
        <v>498</v>
      </c>
      <c r="C23" s="3" t="s">
        <v>566</v>
      </c>
      <c r="D23" s="3" t="s">
        <v>567</v>
      </c>
      <c r="E23" s="3" t="s">
        <v>568</v>
      </c>
      <c r="F23" s="3" t="s">
        <v>522</v>
      </c>
      <c r="G23" s="3" t="s">
        <v>474</v>
      </c>
      <c r="H23" s="3" t="s">
        <v>475</v>
      </c>
      <c r="I23" s="3"/>
      <c r="J23" s="3"/>
    </row>
    <row r="24" customFormat="false" ht="54.75" hidden="false" customHeight="true" outlineLevel="0" collapsed="false">
      <c r="A24" s="3" t="s">
        <v>569</v>
      </c>
      <c r="B24" s="3" t="s">
        <v>470</v>
      </c>
      <c r="C24" s="3" t="s">
        <v>570</v>
      </c>
      <c r="D24" s="3" t="s">
        <v>571</v>
      </c>
      <c r="E24" s="3" t="s">
        <v>572</v>
      </c>
      <c r="F24" s="3" t="s">
        <v>573</v>
      </c>
      <c r="G24" s="3" t="s">
        <v>474</v>
      </c>
      <c r="H24" s="3" t="s">
        <v>475</v>
      </c>
      <c r="I24" s="3"/>
      <c r="J24" s="3"/>
    </row>
    <row r="25" customFormat="false" ht="54.75" hidden="false" customHeight="true" outlineLevel="0" collapsed="false">
      <c r="A25" s="3" t="s">
        <v>574</v>
      </c>
      <c r="B25" s="3" t="s">
        <v>470</v>
      </c>
      <c r="C25" s="3" t="s">
        <v>575</v>
      </c>
      <c r="D25" s="3" t="s">
        <v>576</v>
      </c>
      <c r="E25" s="3" t="s">
        <v>577</v>
      </c>
      <c r="F25" s="3" t="s">
        <v>578</v>
      </c>
      <c r="G25" s="3" t="s">
        <v>474</v>
      </c>
      <c r="H25" s="3" t="s">
        <v>475</v>
      </c>
      <c r="I25" s="3"/>
      <c r="J25" s="3"/>
    </row>
    <row r="26" customFormat="false" ht="54.75" hidden="false" customHeight="true" outlineLevel="0" collapsed="false">
      <c r="A26" s="3" t="s">
        <v>579</v>
      </c>
      <c r="B26" s="3" t="s">
        <v>561</v>
      </c>
      <c r="C26" s="3" t="s">
        <v>580</v>
      </c>
      <c r="D26" s="3" t="s">
        <v>581</v>
      </c>
      <c r="E26" s="3" t="s">
        <v>582</v>
      </c>
      <c r="F26" s="3" t="s">
        <v>583</v>
      </c>
      <c r="G26" s="3" t="s">
        <v>474</v>
      </c>
      <c r="H26" s="3" t="s">
        <v>475</v>
      </c>
      <c r="I26" s="3"/>
      <c r="J26" s="3"/>
    </row>
    <row r="27" customFormat="false" ht="54.75" hidden="false" customHeight="true" outlineLevel="0" collapsed="false">
      <c r="A27" s="3" t="s">
        <v>584</v>
      </c>
      <c r="B27" s="3" t="s">
        <v>561</v>
      </c>
      <c r="C27" s="3" t="s">
        <v>585</v>
      </c>
      <c r="D27" s="3" t="s">
        <v>586</v>
      </c>
      <c r="E27" s="3" t="s">
        <v>587</v>
      </c>
      <c r="F27" s="3" t="s">
        <v>588</v>
      </c>
      <c r="G27" s="3" t="s">
        <v>474</v>
      </c>
      <c r="H27" s="3" t="s">
        <v>475</v>
      </c>
      <c r="I27" s="3"/>
      <c r="J27" s="3"/>
    </row>
    <row r="28" customFormat="false" ht="80.25" hidden="false" customHeight="true" outlineLevel="0" collapsed="false">
      <c r="A28" s="3" t="s">
        <v>589</v>
      </c>
      <c r="B28" s="3" t="s">
        <v>487</v>
      </c>
      <c r="C28" s="3" t="s">
        <v>590</v>
      </c>
      <c r="D28" s="3" t="s">
        <v>591</v>
      </c>
      <c r="E28" s="3" t="s">
        <v>592</v>
      </c>
      <c r="F28" s="3" t="s">
        <v>593</v>
      </c>
      <c r="G28" s="3" t="s">
        <v>474</v>
      </c>
      <c r="H28" s="3" t="s">
        <v>475</v>
      </c>
      <c r="I28" s="3"/>
      <c r="J28" s="3"/>
    </row>
    <row r="29" customFormat="false" ht="15" hidden="false" customHeight="true" outlineLevel="0" collapsed="false">
      <c r="A29" s="3" t="s">
        <v>594</v>
      </c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true" outlineLevel="0" collapsed="false">
      <c r="A30" s="3" t="s">
        <v>595</v>
      </c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true" outlineLevel="0" collapsed="false">
      <c r="A31" s="3" t="s">
        <v>596</v>
      </c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true" outlineLevel="0" collapsed="false">
      <c r="A32" s="3" t="s">
        <v>597</v>
      </c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true" outlineLevel="0" collapsed="false">
      <c r="A33" s="3" t="s">
        <v>598</v>
      </c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true" outlineLevel="0" collapsed="false">
      <c r="A34" s="3" t="s">
        <v>599</v>
      </c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true" outlineLevel="0" collapsed="false">
      <c r="A35" s="3" t="s">
        <v>600</v>
      </c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true" outlineLevel="0" collapsed="false">
      <c r="A36" s="3" t="s">
        <v>601</v>
      </c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true" outlineLevel="0" collapsed="false">
      <c r="A37" s="3" t="s">
        <v>602</v>
      </c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true" outlineLevel="0" collapsed="false">
      <c r="A38" s="3" t="s">
        <v>603</v>
      </c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true" outlineLevel="0" collapsed="false">
      <c r="A39" s="3" t="s">
        <v>604</v>
      </c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true" outlineLevel="0" collapsed="false">
      <c r="A40" s="3" t="s">
        <v>605</v>
      </c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true" outlineLevel="0" collapsed="false">
      <c r="A41" s="3" t="s">
        <v>606</v>
      </c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5" hidden="false" customHeight="true" outlineLevel="0" collapsed="false">
      <c r="A42" s="3" t="s">
        <v>607</v>
      </c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true" outlineLevel="0" collapsed="false">
      <c r="A43" s="3" t="s">
        <v>608</v>
      </c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true" outlineLevel="0" collapsed="false">
      <c r="A44" s="3" t="s">
        <v>609</v>
      </c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true" outlineLevel="0" collapsed="false">
      <c r="A45" s="3" t="s">
        <v>610</v>
      </c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true" outlineLevel="0" collapsed="false">
      <c r="A46" s="3" t="s">
        <v>611</v>
      </c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true" outlineLevel="0" collapsed="false">
      <c r="A47" s="3" t="s">
        <v>612</v>
      </c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true" outlineLevel="0" collapsed="false">
      <c r="A48" s="3" t="s">
        <v>613</v>
      </c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true" outlineLevel="0" collapsed="false">
      <c r="A49" s="3" t="s">
        <v>614</v>
      </c>
      <c r="B49" s="3"/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true" outlineLevel="0" collapsed="false">
      <c r="A50" s="3" t="s">
        <v>615</v>
      </c>
      <c r="B50" s="3"/>
      <c r="C50" s="3"/>
      <c r="D50" s="3"/>
      <c r="E50" s="3"/>
      <c r="F50" s="3"/>
      <c r="G50" s="3"/>
      <c r="H50" s="3"/>
      <c r="I50" s="3"/>
      <c r="J50" s="3"/>
    </row>
    <row r="51" customFormat="false" ht="15" hidden="false" customHeight="true" outlineLevel="0" collapsed="false">
      <c r="A51" s="3" t="s">
        <v>616</v>
      </c>
      <c r="B51" s="3"/>
      <c r="C51" s="3"/>
      <c r="D51" s="3"/>
      <c r="E51" s="3"/>
      <c r="F51" s="3"/>
      <c r="G51" s="3"/>
      <c r="H51" s="3"/>
      <c r="I51" s="3"/>
      <c r="J51" s="3"/>
    </row>
    <row r="52" customFormat="false" ht="15" hidden="false" customHeight="true" outlineLevel="0" collapsed="false">
      <c r="A52" s="3" t="s">
        <v>617</v>
      </c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" hidden="false" customHeight="true" outlineLevel="0" collapsed="false">
      <c r="A53" s="3" t="s">
        <v>618</v>
      </c>
      <c r="B53" s="3"/>
      <c r="C53" s="3"/>
      <c r="D53" s="3"/>
      <c r="E53" s="3"/>
      <c r="F53" s="3"/>
      <c r="G53" s="3"/>
      <c r="H53" s="3"/>
      <c r="I53" s="3"/>
      <c r="J53" s="3"/>
    </row>
    <row r="54" customFormat="false" ht="15" hidden="false" customHeight="true" outlineLevel="0" collapsed="false">
      <c r="A54" s="3" t="s">
        <v>619</v>
      </c>
      <c r="B54" s="3"/>
      <c r="C54" s="3"/>
      <c r="D54" s="3"/>
      <c r="E54" s="3"/>
      <c r="F54" s="3"/>
      <c r="G54" s="3"/>
      <c r="H54" s="3"/>
      <c r="I54" s="3"/>
      <c r="J54" s="3"/>
    </row>
    <row r="55" customFormat="false" ht="15" hidden="false" customHeight="true" outlineLevel="0" collapsed="false">
      <c r="A55" s="3" t="s">
        <v>620</v>
      </c>
      <c r="B55" s="3"/>
      <c r="C55" s="3"/>
      <c r="D55" s="3"/>
      <c r="E55" s="3"/>
      <c r="F55" s="3"/>
      <c r="G55" s="3"/>
      <c r="H55" s="3"/>
      <c r="I55" s="3"/>
      <c r="J55" s="3"/>
    </row>
    <row r="56" customFormat="false" ht="15" hidden="false" customHeight="true" outlineLevel="0" collapsed="false">
      <c r="A56" s="3" t="s">
        <v>621</v>
      </c>
      <c r="B56" s="3"/>
      <c r="C56" s="3"/>
      <c r="D56" s="3"/>
      <c r="E56" s="3"/>
      <c r="F56" s="3"/>
      <c r="G56" s="3"/>
      <c r="H56" s="3"/>
      <c r="I56" s="3"/>
      <c r="J56" s="3"/>
    </row>
    <row r="57" customFormat="false" ht="15" hidden="false" customHeight="true" outlineLevel="0" collapsed="false">
      <c r="A57" s="3" t="s">
        <v>622</v>
      </c>
      <c r="B57" s="3"/>
      <c r="C57" s="3"/>
      <c r="D57" s="3"/>
      <c r="E57" s="3"/>
      <c r="F57" s="3"/>
      <c r="G57" s="3"/>
      <c r="H57" s="3"/>
      <c r="I57" s="3"/>
      <c r="J57" s="3"/>
    </row>
    <row r="58" customFormat="false" ht="15" hidden="false" customHeight="true" outlineLevel="0" collapsed="false">
      <c r="A58" s="3" t="s">
        <v>623</v>
      </c>
      <c r="B58" s="3"/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true" outlineLevel="0" collapsed="false">
      <c r="A59" s="3" t="s">
        <v>624</v>
      </c>
      <c r="B59" s="3"/>
      <c r="C59" s="3"/>
      <c r="D59" s="3"/>
      <c r="E59" s="3"/>
      <c r="F59" s="3"/>
      <c r="G59" s="3"/>
      <c r="H59" s="3"/>
      <c r="I59" s="3"/>
      <c r="J59" s="3"/>
    </row>
    <row r="60" customFormat="false" ht="15" hidden="false" customHeight="true" outlineLevel="0" collapsed="false">
      <c r="A60" s="3" t="s">
        <v>625</v>
      </c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true" outlineLevel="0" collapsed="false">
      <c r="A61" s="3" t="s">
        <v>626</v>
      </c>
      <c r="B61" s="3"/>
      <c r="C61" s="3"/>
      <c r="D61" s="3"/>
      <c r="E61" s="3"/>
      <c r="F61" s="3"/>
      <c r="G61" s="3"/>
      <c r="H61" s="3"/>
      <c r="I61" s="3"/>
      <c r="J61" s="3"/>
    </row>
    <row r="62" customFormat="false" ht="15" hidden="false" customHeight="true" outlineLevel="0" collapsed="false">
      <c r="A62" s="3" t="s">
        <v>627</v>
      </c>
      <c r="B62" s="3"/>
      <c r="C62" s="3"/>
      <c r="D62" s="3"/>
      <c r="E62" s="3"/>
      <c r="F62" s="3"/>
      <c r="G62" s="3"/>
      <c r="H62" s="3"/>
      <c r="I62" s="3"/>
      <c r="J62" s="3"/>
    </row>
    <row r="63" customFormat="false" ht="15" hidden="false" customHeight="true" outlineLevel="0" collapsed="false">
      <c r="A63" s="3" t="s">
        <v>628</v>
      </c>
      <c r="B63" s="3"/>
      <c r="C63" s="3"/>
      <c r="D63" s="3"/>
      <c r="E63" s="3"/>
      <c r="F63" s="3"/>
      <c r="G63" s="3"/>
      <c r="H63" s="3"/>
      <c r="I63" s="3"/>
      <c r="J63" s="3"/>
    </row>
    <row r="64" customFormat="false" ht="15" hidden="false" customHeight="true" outlineLevel="0" collapsed="false">
      <c r="A64" s="3" t="s">
        <v>629</v>
      </c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" hidden="false" customHeight="true" outlineLevel="0" collapsed="false">
      <c r="A65" s="3" t="s">
        <v>630</v>
      </c>
      <c r="B65" s="3"/>
      <c r="C65" s="3"/>
      <c r="D65" s="3"/>
      <c r="E65" s="3"/>
      <c r="F65" s="3"/>
      <c r="G65" s="3"/>
      <c r="H65" s="3"/>
      <c r="I65" s="3"/>
      <c r="J65" s="3"/>
    </row>
    <row r="66" customFormat="false" ht="15" hidden="false" customHeight="true" outlineLevel="0" collapsed="false">
      <c r="A66" s="3" t="s">
        <v>631</v>
      </c>
      <c r="B66" s="3"/>
      <c r="C66" s="3"/>
      <c r="D66" s="3"/>
      <c r="E66" s="3"/>
      <c r="F66" s="3"/>
      <c r="G66" s="3"/>
      <c r="H66" s="3"/>
      <c r="I66" s="3"/>
      <c r="J66" s="3"/>
    </row>
    <row r="67" customFormat="false" ht="15" hidden="false" customHeight="true" outlineLevel="0" collapsed="false">
      <c r="A67" s="3" t="s">
        <v>632</v>
      </c>
      <c r="B67" s="3"/>
      <c r="C67" s="3"/>
      <c r="D67" s="3"/>
      <c r="E67" s="3"/>
      <c r="F67" s="3"/>
      <c r="G67" s="3"/>
      <c r="H67" s="3"/>
      <c r="I67" s="3"/>
      <c r="J67" s="3"/>
    </row>
    <row r="68" customFormat="false" ht="15" hidden="false" customHeight="true" outlineLevel="0" collapsed="false">
      <c r="A68" s="3" t="s">
        <v>633</v>
      </c>
      <c r="B68" s="3"/>
      <c r="C68" s="3"/>
      <c r="D68" s="3"/>
      <c r="E68" s="3"/>
      <c r="F68" s="3"/>
      <c r="G68" s="3"/>
      <c r="H68" s="3"/>
      <c r="I68" s="3"/>
      <c r="J68" s="3"/>
    </row>
    <row r="69" customFormat="false" ht="15" hidden="false" customHeight="true" outlineLevel="0" collapsed="false">
      <c r="A69" s="3" t="s">
        <v>634</v>
      </c>
      <c r="B69" s="3"/>
      <c r="C69" s="3"/>
      <c r="D69" s="3"/>
      <c r="E69" s="3"/>
      <c r="F69" s="3"/>
      <c r="G69" s="3"/>
      <c r="H69" s="3"/>
      <c r="I69" s="3"/>
      <c r="J69" s="3"/>
    </row>
    <row r="70" customFormat="false" ht="15" hidden="false" customHeight="true" outlineLevel="0" collapsed="false">
      <c r="A70" s="3" t="s">
        <v>635</v>
      </c>
      <c r="B70" s="3"/>
      <c r="C70" s="3"/>
      <c r="D70" s="3"/>
      <c r="E70" s="3"/>
      <c r="F70" s="3"/>
      <c r="G70" s="3"/>
      <c r="H70" s="3"/>
      <c r="I70" s="3"/>
      <c r="J70" s="3"/>
    </row>
    <row r="71" customFormat="false" ht="15" hidden="false" customHeight="true" outlineLevel="0" collapsed="false">
      <c r="A71" s="3" t="s">
        <v>636</v>
      </c>
      <c r="B71" s="3"/>
      <c r="C71" s="3"/>
      <c r="D71" s="3"/>
      <c r="E71" s="3"/>
      <c r="F71" s="3"/>
      <c r="G71" s="3"/>
      <c r="H71" s="3"/>
      <c r="I71" s="3"/>
      <c r="J71" s="3"/>
    </row>
    <row r="72" customFormat="false" ht="15" hidden="false" customHeight="true" outlineLevel="0" collapsed="false">
      <c r="A72" s="3" t="s">
        <v>637</v>
      </c>
      <c r="B72" s="3"/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true" outlineLevel="0" collapsed="false">
      <c r="A73" s="3" t="s">
        <v>638</v>
      </c>
      <c r="B73" s="3"/>
      <c r="C73" s="3"/>
      <c r="D73" s="3"/>
      <c r="E73" s="3"/>
      <c r="F73" s="3"/>
      <c r="G73" s="3"/>
      <c r="H73" s="3"/>
      <c r="I73" s="3"/>
      <c r="J73" s="3"/>
    </row>
    <row r="74" customFormat="false" ht="15" hidden="false" customHeight="true" outlineLevel="0" collapsed="false">
      <c r="A74" s="3" t="s">
        <v>639</v>
      </c>
      <c r="B74" s="3"/>
      <c r="C74" s="3"/>
      <c r="D74" s="3"/>
      <c r="E74" s="3"/>
      <c r="F74" s="3"/>
      <c r="G74" s="3"/>
      <c r="H74" s="3"/>
      <c r="I74" s="3"/>
      <c r="J74" s="3"/>
    </row>
    <row r="75" customFormat="false" ht="15" hidden="false" customHeight="true" outlineLevel="0" collapsed="false">
      <c r="A75" s="3" t="s">
        <v>640</v>
      </c>
      <c r="B75" s="3"/>
      <c r="C75" s="3"/>
      <c r="D75" s="3"/>
      <c r="E75" s="3"/>
      <c r="F75" s="3"/>
      <c r="G75" s="3"/>
      <c r="H75" s="3"/>
      <c r="I75" s="3"/>
      <c r="J75" s="3"/>
    </row>
    <row r="76" customFormat="false" ht="15" hidden="false" customHeight="true" outlineLevel="0" collapsed="false">
      <c r="A76" s="3" t="s">
        <v>641</v>
      </c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" hidden="false" customHeight="true" outlineLevel="0" collapsed="false">
      <c r="A77" s="3" t="s">
        <v>642</v>
      </c>
      <c r="B77" s="3"/>
      <c r="C77" s="3"/>
      <c r="D77" s="3"/>
      <c r="E77" s="3"/>
      <c r="F77" s="3"/>
      <c r="G77" s="3"/>
      <c r="H77" s="3"/>
      <c r="I77" s="3"/>
      <c r="J77" s="3"/>
    </row>
    <row r="78" customFormat="false" ht="15" hidden="false" customHeight="true" outlineLevel="0" collapsed="false">
      <c r="A78" s="3" t="s">
        <v>643</v>
      </c>
      <c r="B78" s="3"/>
      <c r="C78" s="3"/>
      <c r="D78" s="3"/>
      <c r="E78" s="3"/>
      <c r="F78" s="3"/>
      <c r="G78" s="3"/>
      <c r="H78" s="3"/>
      <c r="I78" s="3"/>
      <c r="J78" s="3"/>
    </row>
    <row r="79" customFormat="false" ht="15" hidden="false" customHeight="true" outlineLevel="0" collapsed="false">
      <c r="A79" s="3" t="s">
        <v>644</v>
      </c>
      <c r="B79" s="3"/>
      <c r="C79" s="3"/>
      <c r="D79" s="3"/>
      <c r="E79" s="3"/>
      <c r="F79" s="3"/>
      <c r="G79" s="3"/>
      <c r="H79" s="3"/>
      <c r="I79" s="3"/>
      <c r="J79" s="3"/>
    </row>
    <row r="80" customFormat="false" ht="15" hidden="false" customHeight="true" outlineLevel="0" collapsed="false">
      <c r="A80" s="3" t="s">
        <v>645</v>
      </c>
      <c r="B80" s="3"/>
      <c r="C80" s="3"/>
      <c r="D80" s="3"/>
      <c r="E80" s="3"/>
      <c r="F80" s="3"/>
      <c r="G80" s="3"/>
      <c r="H80" s="3"/>
      <c r="I80" s="3"/>
      <c r="J80" s="3"/>
    </row>
    <row r="81" customFormat="false" ht="15" hidden="false" customHeight="true" outlineLevel="0" collapsed="false">
      <c r="A81" s="3" t="s">
        <v>646</v>
      </c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5" hidden="false" customHeight="true" outlineLevel="0" collapsed="false">
      <c r="A82" s="3" t="s">
        <v>647</v>
      </c>
      <c r="B82" s="3"/>
      <c r="C82" s="3"/>
      <c r="D82" s="3"/>
      <c r="E82" s="3"/>
      <c r="F82" s="3"/>
      <c r="G82" s="3"/>
      <c r="H82" s="3"/>
      <c r="I82" s="3"/>
      <c r="J82" s="3"/>
    </row>
    <row r="83" customFormat="false" ht="15" hidden="false" customHeight="true" outlineLevel="0" collapsed="false">
      <c r="A83" s="3" t="s">
        <v>648</v>
      </c>
      <c r="B83" s="3"/>
      <c r="C83" s="3"/>
      <c r="D83" s="3"/>
      <c r="E83" s="3"/>
      <c r="F83" s="3"/>
      <c r="G83" s="3"/>
      <c r="H83" s="3"/>
      <c r="I83" s="3"/>
      <c r="J83" s="3"/>
    </row>
    <row r="84" customFormat="false" ht="15" hidden="false" customHeight="true" outlineLevel="0" collapsed="false">
      <c r="A84" s="3" t="s">
        <v>649</v>
      </c>
      <c r="B84" s="3"/>
      <c r="C84" s="3"/>
      <c r="D84" s="3"/>
      <c r="E84" s="3"/>
      <c r="F84" s="3"/>
      <c r="G84" s="3"/>
      <c r="H84" s="3"/>
      <c r="I84" s="3"/>
      <c r="J84" s="3"/>
    </row>
    <row r="85" customFormat="false" ht="15" hidden="false" customHeight="true" outlineLevel="0" collapsed="false">
      <c r="A85" s="3" t="s">
        <v>650</v>
      </c>
      <c r="B85" s="3"/>
      <c r="C85" s="3"/>
      <c r="D85" s="3"/>
      <c r="E85" s="3"/>
      <c r="F85" s="3"/>
      <c r="G85" s="3"/>
      <c r="H85" s="3"/>
      <c r="I85" s="3"/>
      <c r="J85" s="3"/>
    </row>
    <row r="86" customFormat="false" ht="15" hidden="false" customHeight="true" outlineLevel="0" collapsed="false">
      <c r="A86" s="3" t="s">
        <v>651</v>
      </c>
      <c r="B86" s="3"/>
      <c r="C86" s="3"/>
      <c r="D86" s="3"/>
      <c r="E86" s="3"/>
      <c r="F86" s="3"/>
      <c r="G86" s="3"/>
      <c r="H86" s="3"/>
      <c r="I86" s="3"/>
      <c r="J86" s="3"/>
    </row>
    <row r="87" customFormat="false" ht="15" hidden="false" customHeight="true" outlineLevel="0" collapsed="false">
      <c r="A87" s="3" t="s">
        <v>652</v>
      </c>
      <c r="B87" s="3"/>
      <c r="C87" s="3"/>
      <c r="D87" s="3"/>
      <c r="E87" s="3"/>
      <c r="F87" s="3"/>
      <c r="G87" s="3"/>
      <c r="H87" s="3"/>
      <c r="I87" s="3"/>
      <c r="J87" s="3"/>
    </row>
    <row r="88" customFormat="false" ht="15" hidden="false" customHeight="true" outlineLevel="0" collapsed="false">
      <c r="A88" s="3" t="s">
        <v>653</v>
      </c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" hidden="false" customHeight="true" outlineLevel="0" collapsed="false">
      <c r="A89" s="3" t="s">
        <v>654</v>
      </c>
      <c r="B89" s="3"/>
      <c r="C89" s="3"/>
      <c r="D89" s="3"/>
      <c r="E89" s="3"/>
      <c r="F89" s="3"/>
      <c r="G89" s="3"/>
      <c r="H89" s="3"/>
      <c r="I89" s="3"/>
      <c r="J89" s="3"/>
    </row>
    <row r="90" customFormat="false" ht="15" hidden="false" customHeight="true" outlineLevel="0" collapsed="false">
      <c r="A90" s="3" t="s">
        <v>655</v>
      </c>
      <c r="B90" s="3"/>
      <c r="C90" s="3"/>
      <c r="D90" s="3"/>
      <c r="E90" s="3"/>
      <c r="F90" s="3"/>
      <c r="G90" s="3"/>
      <c r="H90" s="3"/>
      <c r="I90" s="3"/>
      <c r="J90" s="3"/>
    </row>
    <row r="91" customFormat="false" ht="15" hidden="false" customHeight="true" outlineLevel="0" collapsed="false">
      <c r="A91" s="3" t="s">
        <v>656</v>
      </c>
      <c r="B91" s="3"/>
      <c r="C91" s="3"/>
      <c r="D91" s="3"/>
      <c r="E91" s="3"/>
      <c r="F91" s="3"/>
      <c r="G91" s="3"/>
      <c r="H91" s="3"/>
      <c r="I91" s="3"/>
      <c r="J91" s="3"/>
    </row>
    <row r="92" customFormat="false" ht="15" hidden="false" customHeight="true" outlineLevel="0" collapsed="false">
      <c r="A92" s="3" t="s">
        <v>657</v>
      </c>
      <c r="B92" s="3"/>
      <c r="C92" s="3"/>
      <c r="D92" s="3"/>
      <c r="E92" s="3"/>
      <c r="F92" s="3"/>
      <c r="G92" s="3"/>
      <c r="H92" s="3"/>
      <c r="I92" s="3"/>
      <c r="J92" s="3"/>
    </row>
    <row r="93" customFormat="false" ht="15" hidden="false" customHeight="true" outlineLevel="0" collapsed="false">
      <c r="A93" s="3" t="s">
        <v>658</v>
      </c>
      <c r="B93" s="3"/>
      <c r="C93" s="3"/>
      <c r="D93" s="3"/>
      <c r="E93" s="3"/>
      <c r="F93" s="3"/>
      <c r="G93" s="3"/>
      <c r="H93" s="3"/>
      <c r="I93" s="3"/>
      <c r="J93" s="3"/>
    </row>
    <row r="94" customFormat="false" ht="15" hidden="false" customHeight="true" outlineLevel="0" collapsed="false">
      <c r="A94" s="3" t="s">
        <v>659</v>
      </c>
      <c r="B94" s="3"/>
      <c r="C94" s="3"/>
      <c r="D94" s="3"/>
      <c r="E94" s="3"/>
      <c r="F94" s="3"/>
      <c r="G94" s="3"/>
      <c r="H94" s="3"/>
      <c r="I94" s="3"/>
      <c r="J94" s="3"/>
    </row>
    <row r="95" customFormat="false" ht="15" hidden="false" customHeight="true" outlineLevel="0" collapsed="false">
      <c r="A95" s="3" t="s">
        <v>660</v>
      </c>
      <c r="B95" s="3"/>
      <c r="C95" s="3"/>
      <c r="D95" s="3"/>
      <c r="E95" s="3"/>
      <c r="F95" s="3"/>
      <c r="G95" s="3"/>
      <c r="H95" s="3"/>
      <c r="I95" s="3"/>
      <c r="J95" s="3"/>
    </row>
    <row r="96" customFormat="false" ht="15" hidden="false" customHeight="true" outlineLevel="0" collapsed="false">
      <c r="A96" s="3" t="s">
        <v>661</v>
      </c>
      <c r="B96" s="3"/>
      <c r="C96" s="3"/>
      <c r="D96" s="3"/>
      <c r="E96" s="3"/>
      <c r="F96" s="3"/>
      <c r="G96" s="3"/>
      <c r="H96" s="3"/>
      <c r="I96" s="3"/>
      <c r="J96" s="3"/>
    </row>
    <row r="97" customFormat="false" ht="15" hidden="false" customHeight="true" outlineLevel="0" collapsed="false">
      <c r="A97" s="3" t="s">
        <v>662</v>
      </c>
      <c r="B97" s="3"/>
      <c r="C97" s="3"/>
      <c r="D97" s="3"/>
      <c r="E97" s="3"/>
      <c r="F97" s="3"/>
      <c r="G97" s="3"/>
      <c r="H97" s="3"/>
      <c r="I97" s="3"/>
      <c r="J97" s="3"/>
    </row>
    <row r="98" customFormat="false" ht="15" hidden="false" customHeight="true" outlineLevel="0" collapsed="false">
      <c r="A98" s="3" t="s">
        <v>663</v>
      </c>
      <c r="B98" s="3"/>
      <c r="C98" s="3"/>
      <c r="D98" s="3"/>
      <c r="E98" s="3"/>
      <c r="F98" s="3"/>
      <c r="G98" s="3"/>
      <c r="H98" s="3"/>
      <c r="I98" s="3"/>
      <c r="J98" s="3"/>
    </row>
    <row r="99" customFormat="false" ht="15" hidden="false" customHeight="true" outlineLevel="0" collapsed="false">
      <c r="A99" s="3" t="s">
        <v>664</v>
      </c>
      <c r="B99" s="3"/>
      <c r="C99" s="3"/>
      <c r="D99" s="3"/>
      <c r="E99" s="3"/>
      <c r="F99" s="3"/>
      <c r="G99" s="3"/>
      <c r="H99" s="3"/>
      <c r="I99" s="3"/>
      <c r="J99" s="3"/>
    </row>
    <row r="100" customFormat="false" ht="15" hidden="false" customHeight="true" outlineLevel="0" collapsed="false">
      <c r="A100" s="3" t="s">
        <v>665</v>
      </c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" hidden="false" customHeight="true" outlineLevel="0" collapsed="false">
      <c r="A101" s="3" t="s">
        <v>666</v>
      </c>
      <c r="B101" s="3"/>
      <c r="C101" s="3"/>
      <c r="D101" s="3"/>
      <c r="E101" s="3"/>
      <c r="F101" s="3"/>
      <c r="G101" s="3"/>
      <c r="H101" s="3"/>
      <c r="I101" s="3"/>
      <c r="J101" s="3"/>
    </row>
    <row r="102" customFormat="false" ht="15" hidden="false" customHeight="true" outlineLevel="0" collapsed="false">
      <c r="A102" s="3" t="s">
        <v>667</v>
      </c>
      <c r="B102" s="3"/>
      <c r="C102" s="3"/>
      <c r="D102" s="3"/>
      <c r="E102" s="3"/>
      <c r="F102" s="3"/>
      <c r="G102" s="3"/>
      <c r="H102" s="3"/>
      <c r="I102" s="3"/>
      <c r="J102" s="3"/>
    </row>
    <row r="103" customFormat="false" ht="15" hidden="false" customHeight="true" outlineLevel="0" collapsed="false">
      <c r="A103" s="3" t="s">
        <v>668</v>
      </c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</row>
  </sheetData>
  <mergeCells count="1">
    <mergeCell ref="A1:H1"/>
  </mergeCells>
  <conditionalFormatting sqref="H4:H103">
    <cfRule type="expression" priority="2" aboveAverage="0" equalAverage="0" bottom="0" percent="0" rank="0" text="" dxfId="0">
      <formula>H4="Validado"</formula>
    </cfRule>
  </conditionalFormatting>
  <dataValidations count="2">
    <dataValidation allowBlank="false" errorStyle="stop" operator="between" showDropDown="false" showErrorMessage="false" showInputMessage="false" sqref="B4:B103" type="list">
      <formula1>"Prueba,BD,Log,Código,Diagrama,Excel,Captura,Otro"</formula1>
      <formula2>0</formula2>
    </dataValidation>
    <dataValidation allowBlank="false" errorStyle="stop" operator="between" showDropDown="false" showErrorMessage="false" showInputMessage="false" sqref="H4:H103" type="list">
      <formula1>"Pendiente,Revisar,Validado"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6" min="5" style="1" width="26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4"/>
    <col collapsed="false" customWidth="true" hidden="false" outlineLevel="0" max="10" min="10" style="1" width="14"/>
  </cols>
  <sheetData>
    <row r="1" customFormat="false" ht="20.25" hidden="false" customHeight="true" outlineLevel="0" collapsed="false">
      <c r="A1" s="2" t="s">
        <v>669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4" t="s">
        <v>670</v>
      </c>
      <c r="B3" s="4" t="s">
        <v>25</v>
      </c>
      <c r="C3" s="4" t="s">
        <v>671</v>
      </c>
      <c r="D3" s="4" t="s">
        <v>27</v>
      </c>
      <c r="E3" s="4" t="s">
        <v>28</v>
      </c>
      <c r="F3" s="4" t="s">
        <v>672</v>
      </c>
      <c r="G3" s="4" t="s">
        <v>673</v>
      </c>
      <c r="H3" s="4" t="s">
        <v>674</v>
      </c>
      <c r="I3" s="4" t="s">
        <v>675</v>
      </c>
      <c r="J3" s="4" t="s">
        <v>9</v>
      </c>
    </row>
    <row r="4" customFormat="false" ht="258.75" hidden="false" customHeight="true" outlineLevel="0" collapsed="false">
      <c r="A4" s="10" t="s">
        <v>676</v>
      </c>
      <c r="B4" s="10" t="s">
        <v>677</v>
      </c>
      <c r="C4" s="10" t="s">
        <v>678</v>
      </c>
      <c r="D4" s="10" t="s">
        <v>36</v>
      </c>
      <c r="E4" s="10" t="s">
        <v>37</v>
      </c>
      <c r="F4" s="10" t="s">
        <v>679</v>
      </c>
      <c r="G4" s="10" t="s">
        <v>680</v>
      </c>
      <c r="H4" s="10" t="s">
        <v>681</v>
      </c>
      <c r="I4" s="10" t="s">
        <v>682</v>
      </c>
      <c r="J4" s="10" t="s">
        <v>13</v>
      </c>
    </row>
    <row r="5" customFormat="false" ht="138.75" hidden="false" customHeight="true" outlineLevel="0" collapsed="false">
      <c r="A5" s="10" t="s">
        <v>683</v>
      </c>
      <c r="B5" s="10" t="s">
        <v>684</v>
      </c>
      <c r="C5" s="10" t="s">
        <v>685</v>
      </c>
      <c r="D5" s="10" t="s">
        <v>686</v>
      </c>
      <c r="E5" s="10" t="s">
        <v>687</v>
      </c>
      <c r="F5" s="10" t="s">
        <v>688</v>
      </c>
      <c r="G5" s="10" t="s">
        <v>689</v>
      </c>
      <c r="H5" s="10" t="s">
        <v>690</v>
      </c>
      <c r="I5" s="10" t="s">
        <v>691</v>
      </c>
      <c r="J5" s="10" t="s">
        <v>13</v>
      </c>
    </row>
    <row r="6" customFormat="false" ht="80.25" hidden="false" customHeight="true" outlineLevel="0" collapsed="false">
      <c r="A6" s="10" t="s">
        <v>692</v>
      </c>
      <c r="B6" s="10" t="s">
        <v>693</v>
      </c>
      <c r="C6" s="10" t="s">
        <v>694</v>
      </c>
      <c r="D6" s="10" t="s">
        <v>36</v>
      </c>
      <c r="E6" s="10" t="s">
        <v>695</v>
      </c>
      <c r="F6" s="10" t="s">
        <v>696</v>
      </c>
      <c r="G6" s="10" t="s">
        <v>697</v>
      </c>
      <c r="H6" s="10" t="s">
        <v>698</v>
      </c>
      <c r="I6" s="10" t="s">
        <v>699</v>
      </c>
      <c r="J6" s="10" t="s">
        <v>13</v>
      </c>
    </row>
    <row r="7" customFormat="false" ht="105.75" hidden="false" customHeight="true" outlineLevel="0" collapsed="false">
      <c r="A7" s="10" t="s">
        <v>700</v>
      </c>
      <c r="B7" s="10" t="s">
        <v>43</v>
      </c>
      <c r="C7" s="10" t="s">
        <v>701</v>
      </c>
      <c r="D7" s="10" t="s">
        <v>45</v>
      </c>
      <c r="E7" s="10" t="s">
        <v>46</v>
      </c>
      <c r="F7" s="10" t="s">
        <v>47</v>
      </c>
      <c r="G7" s="10" t="s">
        <v>39</v>
      </c>
      <c r="H7" s="10" t="s">
        <v>702</v>
      </c>
      <c r="I7" s="10" t="s">
        <v>703</v>
      </c>
      <c r="J7" s="10" t="s">
        <v>13</v>
      </c>
    </row>
    <row r="8" customFormat="false" ht="207.75" hidden="false" customHeight="true" outlineLevel="0" collapsed="false">
      <c r="A8" s="10" t="s">
        <v>704</v>
      </c>
      <c r="B8" s="10" t="s">
        <v>705</v>
      </c>
      <c r="C8" s="10" t="s">
        <v>706</v>
      </c>
      <c r="D8" s="10" t="s">
        <v>707</v>
      </c>
      <c r="E8" s="10" t="s">
        <v>708</v>
      </c>
      <c r="F8" s="10" t="s">
        <v>709</v>
      </c>
      <c r="G8" s="10" t="s">
        <v>710</v>
      </c>
      <c r="H8" s="10" t="s">
        <v>711</v>
      </c>
      <c r="I8" s="10" t="s">
        <v>712</v>
      </c>
      <c r="J8" s="10" t="s">
        <v>13</v>
      </c>
    </row>
    <row r="9" customFormat="false" ht="169.5" hidden="false" customHeight="true" outlineLevel="0" collapsed="false">
      <c r="A9" s="10" t="s">
        <v>713</v>
      </c>
      <c r="B9" s="10" t="s">
        <v>714</v>
      </c>
      <c r="C9" s="10" t="s">
        <v>715</v>
      </c>
      <c r="D9" s="10" t="s">
        <v>716</v>
      </c>
      <c r="E9" s="10" t="s">
        <v>717</v>
      </c>
      <c r="F9" s="10" t="s">
        <v>718</v>
      </c>
      <c r="G9" s="10" t="s">
        <v>719</v>
      </c>
      <c r="H9" s="10" t="s">
        <v>720</v>
      </c>
      <c r="I9" s="10" t="s">
        <v>721</v>
      </c>
      <c r="J9" s="10" t="s">
        <v>13</v>
      </c>
    </row>
    <row r="10" customFormat="false" ht="93" hidden="false" customHeight="true" outlineLevel="0" collapsed="false">
      <c r="A10" s="10" t="s">
        <v>722</v>
      </c>
      <c r="B10" s="10" t="s">
        <v>59</v>
      </c>
      <c r="C10" s="10" t="s">
        <v>723</v>
      </c>
      <c r="D10" s="10" t="s">
        <v>78</v>
      </c>
      <c r="E10" s="10" t="s">
        <v>79</v>
      </c>
      <c r="F10" s="10" t="s">
        <v>80</v>
      </c>
      <c r="G10" s="10" t="s">
        <v>64</v>
      </c>
      <c r="H10" s="10" t="s">
        <v>724</v>
      </c>
      <c r="I10" s="10" t="s">
        <v>725</v>
      </c>
      <c r="J10" s="10" t="s">
        <v>17</v>
      </c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</row>
  </sheetData>
  <mergeCells count="1">
    <mergeCell ref="A1:J1"/>
  </mergeCells>
  <conditionalFormatting sqref="J4:J103">
    <cfRule type="expression" priority="2" aboveAverage="0" equalAverage="0" bottom="0" percent="0" rank="0" text="" dxfId="0">
      <formula>J4="Verde"</formula>
    </cfRule>
    <cfRule type="expression" priority="3" aboveAverage="0" equalAverage="0" bottom="0" percent="0" rank="0" text="" dxfId="1">
      <formula>J4="Amarillo"</formula>
    </cfRule>
    <cfRule type="expression" priority="4" aboveAverage="0" equalAverage="0" bottom="0" percent="0" rank="0" text="" dxfId="2">
      <formula>J4="Rojo"</formula>
    </cfRule>
  </conditionalFormatting>
  <dataValidations count="1">
    <dataValidation allowBlank="false" errorStyle="stop" operator="between" showDropDown="false" showErrorMessage="false" showInputMessage="false" sqref="J4:J103" type="list">
      <formula1>"Verde,Amarillo,Rojo"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2026-10-22T10:03:16Z</dcterms:created>
  <dc:creator>openpyxl</dc:creator>
  <dc:description/>
  <dc:language>en-US</dc:language>
  <cp:lastModifiedBy/>
  <dcterms:modified xsi:type="dcterms:W3CDTF">2026-10-28T07:07:01Z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