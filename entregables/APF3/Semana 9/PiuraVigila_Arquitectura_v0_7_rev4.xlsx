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Flujo_Critico" sheetId="2" state="visible" r:id="rId4"/>
    <sheet name="Componentes" sheetId="3" state="visible" r:id="rId5"/>
    <sheet name="Trazabilidad" sheetId="4" state="visible" r:id="rId6"/>
    <sheet name="TDD" sheetId="5" state="visible" r:id="rId7"/>
    <sheet name="SOLID_Seguridad" sheetId="6" state="visible" r:id="rId8"/>
    <sheet name="Checklist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<sst xmlns="http://schemas.openxmlformats.org/spreadsheetml/2006/main" count="1759" uniqueCount="1250">
  <si>
    <t xml:space="preserve">Semana 9 · Arquitectura inicial v0.7 · Proyecto Integrador · PiuraVigila</t>
  </si>
  <si>
    <t xml:space="preserve">Indicador</t>
  </si>
  <si>
    <t xml:space="preserve">Valor</t>
  </si>
  <si>
    <t xml:space="preserve">Continuidad del Proyecto Integrador</t>
  </si>
  <si>
    <t xml:space="preserve">Componentes definidos</t>
  </si>
  <si>
    <t xml:space="preserve">APF2 / línea base de Diseño → flujo crítico → arquitectura MVC + Service + DAO sobre Spring Boot (Thymeleaf, JdbcTemplate) → TDD + SOLID + seguridad → arquitectura v0.7 rev4 (alineada con el avance v0.8 rev3 de la Semana 10).</t>
  </si>
  <si>
    <t xml:space="preserve">Relaciones trazadas</t>
  </si>
  <si>
    <t xml:space="preserve">Pruebas TDD identificadas</t>
  </si>
  <si>
    <t xml:space="preserve">Decisiones SOLID/seguridad</t>
  </si>
  <si>
    <t xml:space="preserve">Estado</t>
  </si>
  <si>
    <t xml:space="preserve">Interpretación</t>
  </si>
  <si>
    <t xml:space="preserve">Decisión</t>
  </si>
  <si>
    <t xml:space="preserve">Ítems checklist logrados</t>
  </si>
  <si>
    <t xml:space="preserve">Verde</t>
  </si>
  <si>
    <t xml:space="preserve">Arquitectura coherente y trazable</t>
  </si>
  <si>
    <t xml:space="preserve">Puede iniciar construcción</t>
  </si>
  <si>
    <t xml:space="preserve">Avance checklist</t>
  </si>
  <si>
    <t xml:space="preserve">Amarillo</t>
  </si>
  <si>
    <t xml:space="preserve">Tiene vacíos o acoplamientos por revisar</t>
  </si>
  <si>
    <t xml:space="preserve">Corregir antes del desarrollo</t>
  </si>
  <si>
    <t xml:space="preserve">Rojo</t>
  </si>
  <si>
    <t xml:space="preserve">La estructura contradice requerimientos/diseño</t>
  </si>
  <si>
    <t xml:space="preserve">Reformular componente crítico</t>
  </si>
  <si>
    <t xml:space="preserve">Flujo crítico seleccionado para construir la arquitectura</t>
  </si>
  <si>
    <t xml:space="preserve">ID</t>
  </si>
  <si>
    <t xml:space="preserve">Actividad / paso</t>
  </si>
  <si>
    <t xml:space="preserve">Actor</t>
  </si>
  <si>
    <t xml:space="preserve">Requerimiento</t>
  </si>
  <si>
    <t xml:space="preserve">Pantalla / interfaz</t>
  </si>
  <si>
    <t xml:space="preserve">Dato principal</t>
  </si>
  <si>
    <t xml:space="preserve">Regla de negocio</t>
  </si>
  <si>
    <t xml:space="preserve">Resultado</t>
  </si>
  <si>
    <t xml:space="preserve">Prioridad</t>
  </si>
  <si>
    <t xml:space="preserve">Observación</t>
  </si>
  <si>
    <t xml:space="preserve">F-01</t>
  </si>
  <si>
    <t xml:space="preserve">Completar el formulario de reporte</t>
  </si>
  <si>
    <t xml:space="preserve">Ciudadano</t>
  </si>
  <si>
    <t xml:space="preserve">RF-01</t>
  </si>
  <si>
    <t xml:space="preserve">P01 Registrar reporte</t>
  </si>
  <si>
    <t xml:space="preserve">Reporte (categoría, foto, zona, descripción)</t>
  </si>
  <si>
    <t xml:space="preserve">Categoría, una foto (máx. 2 MB), zona y descripción obligatorias; ubicación opcional (marcada en el mapa o con GPS); la foto debe ser JPG o PNG reales y el formulario lleva token CSRF (v0.8 rev3)</t>
  </si>
  <si>
    <t xml:space="preserve">Datos listos para enviar</t>
  </si>
  <si>
    <t xml:space="preserve">Alta</t>
  </si>
  <si>
    <t xml:space="preserve">Núcleo del flujo crítico (registro)</t>
  </si>
  <si>
    <t xml:space="preserve">F-02</t>
  </si>
  <si>
    <t xml:space="preserve">Resolver la verificación simple</t>
  </si>
  <si>
    <t xml:space="preserve">RF-06</t>
  </si>
  <si>
    <t xml:space="preserve">Verificación (suma)</t>
  </si>
  <si>
    <t xml:space="preserve">La suma debe ser correcta</t>
  </si>
  <si>
    <t xml:space="preserve">Envío habilitado</t>
  </si>
  <si>
    <t xml:space="preserve">Media</t>
  </si>
  <si>
    <t xml:space="preserve">F-03</t>
  </si>
  <si>
    <t xml:space="preserve">Validar los controles anti-spam</t>
  </si>
  <si>
    <t xml:space="preserve">Sistema</t>
  </si>
  <si>
    <t xml:space="preserve">P01 (mensajes de espera y límite)</t>
  </si>
  <si>
    <t xml:space="preserve">Reporte (dispositivo_id, fecha_registro)</t>
  </si>
  <si>
    <t xml:space="preserve">Mínimo 60 s desde el último reporte del dispositivo y menos de 3 reportes ese día (los vinculados cuentan); se valida en el servidor</t>
  </si>
  <si>
    <t xml:space="preserve">Envío aceptado o rechazado con mensaje</t>
  </si>
  <si>
    <t xml:space="preserve">F-04</t>
  </si>
  <si>
    <t xml:space="preserve">Buscar un caso abierto igual</t>
  </si>
  <si>
    <t xml:space="preserve">RF-05, RN-01</t>
  </si>
  <si>
    <t xml:space="preserve">Reporte (categoría, zona, estado)</t>
  </si>
  <si>
    <t xml:space="preserve">Posible duplicado = misma categoría + misma zona + reporte en Recibido o En proceso; no se comparan fotos</t>
  </si>
  <si>
    <t xml:space="preserve">Caso existente o ninguno</t>
  </si>
  <si>
    <t xml:space="preserve">F-05</t>
  </si>
  <si>
    <t xml:space="preserve">Preguntar si es el mismo problema</t>
  </si>
  <si>
    <t xml:space="preserve">Sistema / ciudadano</t>
  </si>
  <si>
    <t xml:space="preserve">RF-05</t>
  </si>
  <si>
    <t xml:space="preserve">P01 (aviso de posible duplicado)</t>
  </si>
  <si>
    <t xml:space="preserve">Reporte existente</t>
  </si>
  <si>
    <t xml:space="preserve">Decide el ciudadano; un caso Atendido no admite vinculaciones</t>
  </si>
  <si>
    <t xml:space="preserve">Respuesta Sí o No</t>
  </si>
  <si>
    <t xml:space="preserve">F-06</t>
  </si>
  <si>
    <t xml:space="preserve">Vincular el reporte al caso original</t>
  </si>
  <si>
    <t xml:space="preserve">RN-01</t>
  </si>
  <si>
    <t xml:space="preserve">Reporte (reporte_original_id)</t>
  </si>
  <si>
    <t xml:space="preserve">El vinculado no tiene código propio, usa el del original y cuenta para el límite diario</t>
  </si>
  <si>
    <t xml:space="preserve">Reporte vinculado; código del original</t>
  </si>
  <si>
    <t xml:space="preserve">F-07</t>
  </si>
  <si>
    <t xml:space="preserve">Registrar el caso nuevo y generar el código</t>
  </si>
  <si>
    <t xml:space="preserve">RF-01, RNF-03</t>
  </si>
  <si>
    <t xml:space="preserve">Reporte (código de seguimiento) + HistorialEstado</t>
  </si>
  <si>
    <t xml:space="preserve">Código PR-AAAA-#### único (UNIQUE + secuencia); estado inicial Recibido; caso e historial en una sola transacción</t>
  </si>
  <si>
    <t xml:space="preserve">Caso registrado con código</t>
  </si>
  <si>
    <t xml:space="preserve">F-08</t>
  </si>
  <si>
    <t xml:space="preserve">Consultar el estado por código</t>
  </si>
  <si>
    <t xml:space="preserve">RF-02</t>
  </si>
  <si>
    <t xml:space="preserve">P02 Consultar estado</t>
  </si>
  <si>
    <t xml:space="preserve">Reporte, HistorialEstado</t>
  </si>
  <si>
    <t xml:space="preserve">Se consulta con el código del caso; muestra categoría, estado, fecha de registro, última actualización y la línea de tiempo con la fecha de cada paso</t>
  </si>
  <si>
    <t xml:space="preserve">Estado mostrado</t>
  </si>
  <si>
    <t xml:space="preserve">Cierra el ciclo del ciudadano. v0.8 rev2: línea de tiempo Recibido → En proceso → Atendido (captura EV-18)</t>
  </si>
  <si>
    <t xml:space="preserve">F-09</t>
  </si>
  <si>
    <t xml:space="preserve">Iniciar sesión del personal municipal</t>
  </si>
  <si>
    <t xml:space="preserve">Personal municipal</t>
  </si>
  <si>
    <t xml:space="preserve">RNF-01</t>
  </si>
  <si>
    <t xml:space="preserve">P03 Panel de gestión</t>
  </si>
  <si>
    <t xml:space="preserve">UsuarioMunicipal</t>
  </si>
  <si>
    <t xml:space="preserve">Solo personal autenticado; la contraseña se compara contra su hash</t>
  </si>
  <si>
    <t xml:space="preserve">Sesión activa</t>
  </si>
  <si>
    <t xml:space="preserve">Acceso al panel</t>
  </si>
  <si>
    <t xml:space="preserve">F-10</t>
  </si>
  <si>
    <t xml:space="preserve">Revisar el listado de casos</t>
  </si>
  <si>
    <t xml:space="preserve">RF-03</t>
  </si>
  <si>
    <t xml:space="preserve">Reporte</t>
  </si>
  <si>
    <t xml:space="preserve">Solo casos (sin vinculados); filtros por zona, tipo y estado; 20 por página</t>
  </si>
  <si>
    <t xml:space="preserve">Listado mostrado</t>
  </si>
  <si>
    <t xml:space="preserve">Atención del caso</t>
  </si>
  <si>
    <t xml:space="preserve">F-11</t>
  </si>
  <si>
    <t xml:space="preserve">Cambiar el estado del caso</t>
  </si>
  <si>
    <t xml:space="preserve">El estado solo avanza (Recibido → En proceso → Atendido); guarda fecha y responsable</t>
  </si>
  <si>
    <t xml:space="preserve">Estado e historial actualizados</t>
  </si>
  <si>
    <t xml:space="preserve">F-12</t>
  </si>
  <si>
    <t xml:space="preserve">Ver las zonas críticas</t>
  </si>
  <si>
    <t xml:space="preserve">RF-04</t>
  </si>
  <si>
    <t xml:space="preserve">P04 Mapa de zonas críticas; R01 como tabla en P03</t>
  </si>
  <si>
    <t xml:space="preserve">Reporte, Zona</t>
  </si>
  <si>
    <t xml:space="preserve">Conteo por zona y periodo; incluye los reportes vinculados; lo ven operador y administrador; además se dibuja en un mapa cada reporte con ubicación</t>
  </si>
  <si>
    <t xml:space="preserve">Mapa mostrado</t>
  </si>
  <si>
    <t xml:space="preserve">Flujo de apoyo (dashboard). v0.8 rev1: mapa esquemático P04 (GET /panel/mapa) además de la tabla R01 dentro de P03; ejecutado con PostgreSQL (captura del mapa, periodo de 7 días). v0.8 rev2: mapa con puntos coloreados por estado (Leaflet + OpenStreetMap; captura EV-17)</t>
  </si>
  <si>
    <t xml:space="preserve">F-13</t>
  </si>
  <si>
    <t xml:space="preserve">Ver el resumen de gestión</t>
  </si>
  <si>
    <t xml:space="preserve">RF-03, RF-05, RF-07</t>
  </si>
  <si>
    <t xml:space="preserve">P03 (R01 a R03, sin fotos; ?resumen=true)</t>
  </si>
  <si>
    <t xml:space="preserve">Reporte, Categoría, HistorialEstado</t>
  </si>
  <si>
    <t xml:space="preserve">Solo conteos, promedios y porcentajes; el tiempo de atención (R02) solo lo ve el administrador</t>
  </si>
  <si>
    <t xml:space="preserve">Resumen mostrado</t>
  </si>
  <si>
    <t xml:space="preserve">Flujo de apoyo (dashboard)</t>
  </si>
  <si>
    <t xml:space="preserve">F-14</t>
  </si>
  <si>
    <t xml:space="preserve">Habilitar una categoría faltante</t>
  </si>
  <si>
    <t xml:space="preserve">RF-07</t>
  </si>
  <si>
    <t xml:space="preserve">Categoría</t>
  </si>
  <si>
    <t xml:space="preserve">Solo el administrador; aviso si «Otra» supera el 10 % del mes calendario; el nombre no se repite</t>
  </si>
  <si>
    <t xml:space="preserve">Categoría activa en el formulario</t>
  </si>
  <si>
    <t xml:space="preserve">Flujo de apoyo. v0.8 rev1: habilitarCategoria() exige rol administrador (PV-T41 verde en mvn test real)</t>
  </si>
  <si>
    <t xml:space="preserve">F-15</t>
  </si>
  <si>
    <t xml:space="preserve">Exportar las zonas críticas a Excel</t>
  </si>
  <si>
    <t xml:space="preserve">P03 Panel (enlace «Descargar zonas en Excel»)</t>
  </si>
  <si>
    <t xml:space="preserve">Solo con sesión municipal; el periodo no puede estar invertido ni pasar de 5 años; el archivo lleva solo conteos por zona, sin datos personales ni fotos</t>
  </si>
  <si>
    <t xml:space="preserve">Archivo PiuraVigila_Zonas.xlsx descargado</t>
  </si>
  <si>
    <t xml:space="preserve">Baja</t>
  </si>
  <si>
    <t xml:space="preserve">Flujo de apoyo añadido en v0.8 rev3 con Apache POI (GET /panel/exportar); pruebas PV-T50 a PV-T52 y PV-T55</t>
  </si>
  <si>
    <t xml:space="preserve">F-16</t>
  </si>
  <si>
    <t xml:space="preserve">F-17</t>
  </si>
  <si>
    <t xml:space="preserve">F-18</t>
  </si>
  <si>
    <t xml:space="preserve">F-19</t>
  </si>
  <si>
    <t xml:space="preserve">F-20</t>
  </si>
  <si>
    <t xml:space="preserve">F-21</t>
  </si>
  <si>
    <t xml:space="preserve">F-22</t>
  </si>
  <si>
    <t xml:space="preserve">F-23</t>
  </si>
  <si>
    <t xml:space="preserve">F-24</t>
  </si>
  <si>
    <t xml:space="preserve">F-25</t>
  </si>
  <si>
    <t xml:space="preserve">F-26</t>
  </si>
  <si>
    <t xml:space="preserve">F-27</t>
  </si>
  <si>
    <t xml:space="preserve">F-28</t>
  </si>
  <si>
    <t xml:space="preserve">F-29</t>
  </si>
  <si>
    <t xml:space="preserve">F-30</t>
  </si>
  <si>
    <t xml:space="preserve">F-31</t>
  </si>
  <si>
    <t xml:space="preserve">F-32</t>
  </si>
  <si>
    <t xml:space="preserve">F-33</t>
  </si>
  <si>
    <t xml:space="preserve">F-34</t>
  </si>
  <si>
    <t xml:space="preserve">F-35</t>
  </si>
  <si>
    <t xml:space="preserve">F-36</t>
  </si>
  <si>
    <t xml:space="preserve">F-37</t>
  </si>
  <si>
    <t xml:space="preserve">F-38</t>
  </si>
  <si>
    <t xml:space="preserve">F-39</t>
  </si>
  <si>
    <t xml:space="preserve">F-40</t>
  </si>
  <si>
    <t xml:space="preserve">F-41</t>
  </si>
  <si>
    <t xml:space="preserve">F-42</t>
  </si>
  <si>
    <t xml:space="preserve">F-43</t>
  </si>
  <si>
    <t xml:space="preserve">F-44</t>
  </si>
  <si>
    <t xml:space="preserve">F-45</t>
  </si>
  <si>
    <t xml:space="preserve">F-46</t>
  </si>
  <si>
    <t xml:space="preserve">F-47</t>
  </si>
  <si>
    <t xml:space="preserve">F-48</t>
  </si>
  <si>
    <t xml:space="preserve">F-49</t>
  </si>
  <si>
    <t xml:space="preserve">F-50</t>
  </si>
  <si>
    <t xml:space="preserve">F-51</t>
  </si>
  <si>
    <t xml:space="preserve">F-52</t>
  </si>
  <si>
    <t xml:space="preserve">F-53</t>
  </si>
  <si>
    <t xml:space="preserve">F-54</t>
  </si>
  <si>
    <t xml:space="preserve">F-55</t>
  </si>
  <si>
    <t xml:space="preserve">F-56</t>
  </si>
  <si>
    <t xml:space="preserve">F-57</t>
  </si>
  <si>
    <t xml:space="preserve">F-58</t>
  </si>
  <si>
    <t xml:space="preserve">F-59</t>
  </si>
  <si>
    <t xml:space="preserve">F-60</t>
  </si>
  <si>
    <t xml:space="preserve">F-61</t>
  </si>
  <si>
    <t xml:space="preserve">F-62</t>
  </si>
  <si>
    <t xml:space="preserve">F-63</t>
  </si>
  <si>
    <t xml:space="preserve">F-64</t>
  </si>
  <si>
    <t xml:space="preserve">F-65</t>
  </si>
  <si>
    <t xml:space="preserve">F-66</t>
  </si>
  <si>
    <t xml:space="preserve">F-67</t>
  </si>
  <si>
    <t xml:space="preserve">F-68</t>
  </si>
  <si>
    <t xml:space="preserve">F-69</t>
  </si>
  <si>
    <t xml:space="preserve">F-70</t>
  </si>
  <si>
    <t xml:space="preserve">F-71</t>
  </si>
  <si>
    <t xml:space="preserve">F-72</t>
  </si>
  <si>
    <t xml:space="preserve">F-73</t>
  </si>
  <si>
    <t xml:space="preserve">F-74</t>
  </si>
  <si>
    <t xml:space="preserve">F-75</t>
  </si>
  <si>
    <t xml:space="preserve">F-76</t>
  </si>
  <si>
    <t xml:space="preserve">F-77</t>
  </si>
  <si>
    <t xml:space="preserve">F-78</t>
  </si>
  <si>
    <t xml:space="preserve">F-79</t>
  </si>
  <si>
    <t xml:space="preserve">F-80</t>
  </si>
  <si>
    <t xml:space="preserve">F-81</t>
  </si>
  <si>
    <t xml:space="preserve">F-82</t>
  </si>
  <si>
    <t xml:space="preserve">F-83</t>
  </si>
  <si>
    <t xml:space="preserve">F-84</t>
  </si>
  <si>
    <t xml:space="preserve">F-85</t>
  </si>
  <si>
    <t xml:space="preserve">F-86</t>
  </si>
  <si>
    <t xml:space="preserve">F-87</t>
  </si>
  <si>
    <t xml:space="preserve">F-88</t>
  </si>
  <si>
    <t xml:space="preserve">F-89</t>
  </si>
  <si>
    <t xml:space="preserve">F-90</t>
  </si>
  <si>
    <t xml:space="preserve">F-91</t>
  </si>
  <si>
    <t xml:space="preserve">F-92</t>
  </si>
  <si>
    <t xml:space="preserve">F-93</t>
  </si>
  <si>
    <t xml:space="preserve">F-94</t>
  </si>
  <si>
    <t xml:space="preserve">F-95</t>
  </si>
  <si>
    <t xml:space="preserve">F-96</t>
  </si>
  <si>
    <t xml:space="preserve">F-97</t>
  </si>
  <si>
    <t xml:space="preserve">F-98</t>
  </si>
  <si>
    <t xml:space="preserve">F-99</t>
  </si>
  <si>
    <t xml:space="preserve">F-100</t>
  </si>
  <si>
    <t xml:space="preserve">Componentes de arquitectura MVC + Servicio + DAO (Spring Boot) · rev2</t>
  </si>
  <si>
    <t xml:space="preserve">Capa / rol</t>
  </si>
  <si>
    <t xml:space="preserve">Componente</t>
  </si>
  <si>
    <t xml:space="preserve">Responsabilidad</t>
  </si>
  <si>
    <t xml:space="preserve">Entrada</t>
  </si>
  <si>
    <t xml:space="preserve">Salida</t>
  </si>
  <si>
    <t xml:space="preserve">Depende de</t>
  </si>
  <si>
    <t xml:space="preserve">No debe hacer</t>
  </si>
  <si>
    <t xml:space="preserve">Paquete sugerido</t>
  </si>
  <si>
    <t xml:space="preserve">C-01</t>
  </si>
  <si>
    <t xml:space="preserve">View</t>
  </si>
  <si>
    <t xml:space="preserve">reportar.html, duplicado.html y registrado.html (P01)</t>
  </si>
  <si>
    <t xml:space="preserve">Plantillas Thymeleaf: captura categoría, foto JPG o PNG, zona, ubicación opcional (se marca en el mapa o con «Usar mi ubicación»), descripción y verificación; muestra el aviso de duplicado, los mensajes y el código</t>
  </si>
  <si>
    <t xml:space="preserve">Acciones del ciudadano</t>
  </si>
  <si>
    <t xml:space="preserve">Datos capturados / respuesta mostrada</t>
  </si>
  <si>
    <t xml:space="preserve">ReporteController</t>
  </si>
  <si>
    <t xml:space="preserve">Reglas de duplicado o anti-spam, ni SQL</t>
  </si>
  <si>
    <t xml:space="preserve">templates</t>
  </si>
  <si>
    <t xml:space="preserve">Validado</t>
  </si>
  <si>
    <t xml:space="preserve">Pantalla P01. Ejecutada con PostgreSQL (capturas del registro, código PR-2026-0001). v0.8 rev3: los formularios de registro y de duplicado llevan token _csrf</t>
  </si>
  <si>
    <t xml:space="preserve">C-02</t>
  </si>
  <si>
    <t xml:space="preserve">consultar.html (P02)</t>
  </si>
  <si>
    <t xml:space="preserve">Pide el código y muestra categoría, estado, fecha de registro, última actualización y la línea de tiempo del caso (Recibido → En proceso → Atendido) con la fecha de cada paso</t>
  </si>
  <si>
    <t xml:space="preserve">Código escrito</t>
  </si>
  <si>
    <t xml:space="preserve">Calcular fechas o consultar la BD</t>
  </si>
  <si>
    <t xml:space="preserve">Pantalla P02. Mensaje genérico si el código no existe. v0.8 rev2: línea de tiempo (captura EV-18); no muestra quién hizo el cambio</t>
  </si>
  <si>
    <t xml:space="preserve">C-03</t>
  </si>
  <si>
    <t xml:space="preserve">login.html y panel.html (P03)</t>
  </si>
  <si>
    <t xml:space="preserve">Login, filtros, listado de 20 en 20 con «Vinc.», cambio de estado, categorías, botón de resumen y enlace «Descargar zonas en Excel»</t>
  </si>
  <si>
    <t xml:space="preserve">Acciones del personal</t>
  </si>
  <si>
    <t xml:space="preserve">Listado / confirmaciones</t>
  </si>
  <si>
    <t xml:space="preserve">PanelController</t>
  </si>
  <si>
    <t xml:space="preserve">Decidir si un cambio de estado es válido</t>
  </si>
  <si>
    <t xml:space="preserve">Pantalla P03; los formularios POST llevan token _csrf; el formulario «Nueva categoría» solo se muestra al administrador (v0.8 rev1); rev3: enlace de descarga a /panel/exportar</t>
  </si>
  <si>
    <t xml:space="preserve">C-04</t>
  </si>
  <si>
    <t xml:space="preserve">mapa.html (P04)</t>
  </si>
  <si>
    <t xml:space="preserve">Muestra la cuadrícula por zona con el conteo de reportes (incluye vinculados) del periodo (7 días, mes, 3 meses o año) y un mapa (Leaflet + OpenStreetMap) con cada reporte ubicado, coloreado por estado</t>
  </si>
  <si>
    <t xml:space="preserve">Periodo elegido (7d, mes, 3m o año)</t>
  </si>
  <si>
    <t xml:space="preserve">Cuadrícula por zonas y mapa de puntos</t>
  </si>
  <si>
    <t xml:space="preserve">Contar reportes</t>
  </si>
  <si>
    <t xml:space="preserve">Implementado en v0.8 rev1 (GET /panel/mapa, RF-04) para operador y administrador; ejecutado con PostgreSQL (captura del mapa, periodo de 7 días). v0.8 rev2: mapa con puntos (puntosReportes); el mapa necesita internet para los mosaicos (EV-17)</t>
  </si>
  <si>
    <t xml:space="preserve">C-05</t>
  </si>
  <si>
    <t xml:space="preserve">Resumen R01 a R03 (sección de panel.html)</t>
  </si>
  <si>
    <t xml:space="preserve">Muestra zonas críticas, tiempos de atención (solo administrador) y resumen de gestión, sin fotos</t>
  </si>
  <si>
    <t xml:space="preserve">Periodo elegido</t>
  </si>
  <si>
    <t xml:space="preserve">Tablas e indicadores</t>
  </si>
  <si>
    <t xml:space="preserve">Calcular indicadores ni mostrar fotos</t>
  </si>
  <si>
    <t xml:space="preserve">Se activa con ?resumen=true; R02 solo si el rol es administrador</t>
  </si>
  <si>
    <t xml:space="preserve">C-06</t>
  </si>
  <si>
    <t xml:space="preserve">Controller</t>
  </si>
  <si>
    <t xml:space="preserve">ReporteController (@Controller)</t>
  </si>
  <si>
    <t xml:space="preserve">Atiende GET/POST /reportar, POST /reportar/duplicado y GET /consultar; arma DatosReporte (cookie pv_dispositivo, suma en la sesión), exige el token CSRF en los POST públicos y delega</t>
  </si>
  <si>
    <t xml:space="preserve">DatosReporte (formulario)</t>
  </si>
  <si>
    <t xml:space="preserve">ResultadoRegistro / ConsultaEstado</t>
  </si>
  <si>
    <t xml:space="preserve">ReporteService</t>
  </si>
  <si>
    <t xml:space="preserve">Reglas de duplicado, anti-spam o SQL</t>
  </si>
  <si>
    <t xml:space="preserve">controller</t>
  </si>
  <si>
    <t xml:space="preserve">Casos de uso del ciudadano. La validación de formato la ejecuta ReporteService mediante ValidadorReporte. v0.8 rev3: sin token CSRF válido responde 403 y no llama al servicio (PV-T48, PV-T49, PV-T53, PV-T54)</t>
  </si>
  <si>
    <t xml:space="preserve">C-07</t>
  </si>
  <si>
    <t xml:space="preserve">PanelController (@Controller)</t>
  </si>
  <si>
    <t xml:space="preserve">Login, logout, listado, cambio de estado, categorías (solo administrador), resumen R01 a R03 y mapa P04; exige sesión y token CSRF en cada POST</t>
  </si>
  <si>
    <t xml:space="preserve">Respuestas para las vistas de P03</t>
  </si>
  <si>
    <t xml:space="preserve">AuthService, ReporteService, CategoriaService, DashboardService, HttpSession, Clock</t>
  </si>
  <si>
    <t xml:space="preserve">Reglas de negocio o SQL</t>
  </si>
  <si>
    <t xml:space="preserve">Absorbe al DashboardController de v0.7. En v0.8 rev1 habilitarCategoria() exige rol administrador (Q-10; PV-T41 verde en mvn test real)</t>
  </si>
  <si>
    <t xml:space="preserve">C-08</t>
  </si>
  <si>
    <t xml:space="preserve">ManejoErrores (@ControllerAdvice)</t>
  </si>
  <si>
    <t xml:space="preserve">Captura errores técnicos (acceso a datos, E/S) y muestra un mensaje genérico; el detalle va al log</t>
  </si>
  <si>
    <t xml:space="preserve">Excepción</t>
  </si>
  <si>
    <t xml:space="preserve">error.html con mensaje genérico</t>
  </si>
  <si>
    <t xml:space="preserve">—</t>
  </si>
  <si>
    <t xml:space="preserve">Mostrar SQL, rutas o datos internos</t>
  </si>
  <si>
    <t xml:space="preserve">Q-11; no tiene prueba automática</t>
  </si>
  <si>
    <t xml:space="preserve">C-09</t>
  </si>
  <si>
    <t xml:space="preserve">Csrf (utilidad de paquete)</t>
  </si>
  <si>
    <t xml:space="preserve">Genera y valida el token CSRF de la sesión (panel y formularios públicos)</t>
  </si>
  <si>
    <t xml:space="preserve">Sesión, token</t>
  </si>
  <si>
    <t xml:space="preserve">válido / no válido</t>
  </si>
  <si>
    <t xml:space="preserve">HttpSession</t>
  </si>
  <si>
    <t xml:space="preserve">Validar roles o contraseñas</t>
  </si>
  <si>
    <t xml:space="preserve">Q-17; v0.8 rev3: también protege el registro y el duplicado del ciudadano (PV-T48, PV-T49, PV-T53, PV-T54)</t>
  </si>
  <si>
    <t xml:space="preserve">C-10</t>
  </si>
  <si>
    <t xml:space="preserve">Service</t>
  </si>
  <si>
    <t xml:space="preserve">ReporteService (@Service, @Transactional)</t>
  </si>
  <si>
    <t xml:space="preserve">Registro (validación → anti-spam → duplicado → vincular o crear), respuesta al duplicado, consulta de estado con su línea de tiempo, listado y cambio de estado</t>
  </si>
  <si>
    <t xml:space="preserve">DatosReporte, código, filtros</t>
  </si>
  <si>
    <t xml:space="preserve">ResultadoRegistro, ConsultaEstado, listado</t>
  </si>
  <si>
    <t xml:space="preserve">ReporteDAO, HistorialEstadoDAO, CategoriaDAO, ZonaDAO, ValidadorReporte, ControlAntiSpam, FotoStorage, Clock</t>
  </si>
  <si>
    <t xml:space="preserve">Detalles de pantalla o SQL directo</t>
  </si>
  <si>
    <t xml:space="preserve">service</t>
  </si>
  <si>
    <t xml:space="preserve">Caso e historial en una sola transacción (@Transactional). 37 pruebas de service con DAO simulados; rollback real sin probar</t>
  </si>
  <si>
    <t xml:space="preserve">C-11</t>
  </si>
  <si>
    <t xml:space="preserve">ControlAntiSpam (@Component)</t>
  </si>
  <si>
    <t xml:space="preserve">Valida verificación, 60 s entre reportes y máximo 3 por día por dispositivo</t>
  </si>
  <si>
    <t xml:space="preserve">dispositivoId, respuestaSuma, sumaEsperada</t>
  </si>
  <si>
    <t xml:space="preserve">ResultadoControl</t>
  </si>
  <si>
    <t xml:space="preserve">ReporteDAO, Clock, application.properties</t>
  </si>
  <si>
    <t xml:space="preserve">Decidir duplicados ni guardar reportes</t>
  </si>
  <si>
    <t xml:space="preserve">RF-06; límites en piuravigila.antispam.*; hora de Lima inyectada con Clock</t>
  </si>
  <si>
    <t xml:space="preserve">C-12</t>
  </si>
  <si>
    <t xml:space="preserve">CategoriaService (@Service)</t>
  </si>
  <si>
    <t xml:space="preserve">Habilita una categoría nueva (nombre único, espacios normalizados) y evalúa el umbral de «Otra»</t>
  </si>
  <si>
    <t xml:space="preserve">Nombre / mes</t>
  </si>
  <si>
    <t xml:space="preserve">Categorías, % «Otra»</t>
  </si>
  <si>
    <t xml:space="preserve">CategoriaDAO</t>
  </si>
  <si>
    <t xml:space="preserve">Pintar avisos en pantalla</t>
  </si>
  <si>
    <t xml:space="preserve">RF-07. No recibe el usuario: el control de rol lo hace PanelController (v0.8 rev1)</t>
  </si>
  <si>
    <t xml:space="preserve">C-13</t>
  </si>
  <si>
    <t xml:space="preserve">AuthService (@Service)</t>
  </si>
  <si>
    <t xml:space="preserve">Valida usuario y contraseña contra el hash BCrypt y entrega el usuario con su rol</t>
  </si>
  <si>
    <t xml:space="preserve">Usuario, contraseña</t>
  </si>
  <si>
    <t xml:space="preserve">UsuarioMunicipal autenticado</t>
  </si>
  <si>
    <t xml:space="preserve">UsuarioMunicipalDAO, HashContrasena</t>
  </si>
  <si>
    <t xml:space="preserve">Guardar o mostrar la contraseña</t>
  </si>
  <si>
    <t xml:space="preserve">RNF-01. Reemplaza a AutenticacionService de v0.7</t>
  </si>
  <si>
    <t xml:space="preserve">C-14</t>
  </si>
  <si>
    <t xml:space="preserve">DashboardService (@Service)</t>
  </si>
  <si>
    <t xml:space="preserve">Calcula R01 zonas críticas, R02 tiempos de atención y R03 resumen de gestión; rechaza periodos invertidos; entrega los puntos del mapa P04</t>
  </si>
  <si>
    <t xml:space="preserve">Periodo (desde, hasta)</t>
  </si>
  <si>
    <t xml:space="preserve">ConteoZona, TiempoCategoria, ResumenGestion, PuntoReporte</t>
  </si>
  <si>
    <t xml:space="preserve">ReporteDAO, HistorialEstadoDAO, CategoriaDAO</t>
  </si>
  <si>
    <t xml:space="preserve">Incluir fotos ni formatear pantalla</t>
  </si>
  <si>
    <t xml:space="preserve">R01 incluye vinculados; R02 solo casos Atendidos y originales; zonasCriticas() alimenta la cuadrícula del mapa P04 y puntosReportes() sus puntos (v0.8 rev2)</t>
  </si>
  <si>
    <t xml:space="preserve">C-15</t>
  </si>
  <si>
    <t xml:space="preserve">Validation</t>
  </si>
  <si>
    <t xml:space="preserve">ValidadorReporte (@Component)</t>
  </si>
  <si>
    <t xml:space="preserve">Valida el formato: campos obligatorios, descripción máx. 300, foto de máx. 2 MB y coordenadas válidas</t>
  </si>
  <si>
    <t xml:space="preserve">DatosReporte</t>
  </si>
  <si>
    <t xml:space="preserve">application.properties</t>
  </si>
  <si>
    <t xml:space="preserve">Consultar la BD o decidir duplicados</t>
  </si>
  <si>
    <t xml:space="preserve">Validación de entrada en el servidor (Q-07); vive en el paquete service. v0.8 rev3: usa StringUtils.isBlank de Apache Commons Lang 3</t>
  </si>
  <si>
    <t xml:space="preserve">C-16</t>
  </si>
  <si>
    <t xml:space="preserve">FotoStorage (interfaz)</t>
  </si>
  <si>
    <t xml:space="preserve">Contrato para guardar la foto y devolver la ruta que va en reporte.foto_url</t>
  </si>
  <si>
    <t xml:space="preserve">Nombre original, bytes</t>
  </si>
  <si>
    <t xml:space="preserve">Ruta guardada</t>
  </si>
  <si>
    <t xml:space="preserve">Decidir reglas de negocio</t>
  </si>
  <si>
    <t xml:space="preserve">Permite cambiar el almacenamiento sin tocar ReporteService (OCP, DIP)</t>
  </si>
  <si>
    <t xml:space="preserve">C-17</t>
  </si>
  <si>
    <t xml:space="preserve">HashContrasena (interfaz)</t>
  </si>
  <si>
    <t xml:space="preserve">Contrato para codificar y comparar contraseñas</t>
  </si>
  <si>
    <t xml:space="preserve">Clave en claro, hash</t>
  </si>
  <si>
    <t xml:space="preserve">hash / true-false</t>
  </si>
  <si>
    <t xml:space="preserve">Guardar contraseñas</t>
  </si>
  <si>
    <t xml:space="preserve">Implementada por BCryptHash</t>
  </si>
  <si>
    <t xml:space="preserve">C-18</t>
  </si>
  <si>
    <t xml:space="preserve">DAO</t>
  </si>
  <si>
    <t xml:space="preserve">ReporteDAO (interfaz; ReporteDAOJdbc)</t>
  </si>
  <si>
    <t xml:space="preserve">Inserta casos y vinculados, busca por código, id y caso abierto, cuenta y lista, agrega para R01/R03 y lista los reportes con ubicación del periodo, con consultas parametrizadas</t>
  </si>
  <si>
    <t xml:space="preserve">Reporte / criterios</t>
  </si>
  <si>
    <t xml:space="preserve">Reporte, filas, conteos</t>
  </si>
  <si>
    <t xml:space="preserve">JdbcTemplate</t>
  </si>
  <si>
    <t xml:space="preserve">Reglas de negocio o mensajes de pantalla</t>
  </si>
  <si>
    <t xml:space="preserve">dao / dao.jdbc</t>
  </si>
  <si>
    <t xml:space="preserve">Tabla reporte. 16 métodos (ISP parcial); puntosPeriodo() se añadió como método default para no obligar a los DAO simulados. El SQL se ejecutó contra PostgreSQL desde la aplicación (registro, consulta, panel y mapa); sin pruebas de integración automáticas</t>
  </si>
  <si>
    <t xml:space="preserve">C-19</t>
  </si>
  <si>
    <t xml:space="preserve">ZonaDAO (interfaz; ZonaDAOJdbc)</t>
  </si>
  <si>
    <t xml:space="preserve">Lista las zonas y busca una por id</t>
  </si>
  <si>
    <t xml:space="preserve">id</t>
  </si>
  <si>
    <t xml:space="preserve">Zona / lista</t>
  </si>
  <si>
    <t xml:space="preserve">Reglas de presentación</t>
  </si>
  <si>
    <t xml:space="preserve">Tabla zona</t>
  </si>
  <si>
    <t xml:space="preserve">C-20</t>
  </si>
  <si>
    <t xml:space="preserve">CategoriaDAO (interfaz; CategoriaDAOJdbc)</t>
  </si>
  <si>
    <t xml:space="preserve">Lista activas, busca por id, inserta, verifica nombre y calcula el % «Otra» del mes</t>
  </si>
  <si>
    <t xml:space="preserve">Categoría / mes</t>
  </si>
  <si>
    <t xml:space="preserve">Categoria, porcentaje</t>
  </si>
  <si>
    <t xml:space="preserve">Decidir si se supera el umbral</t>
  </si>
  <si>
    <t xml:space="preserve">Tabla categoria</t>
  </si>
  <si>
    <t xml:space="preserve">C-21</t>
  </si>
  <si>
    <t xml:space="preserve">UsuarioMunicipalDAO (interfaz; UsuarioMunicipalDAOJdbc)</t>
  </si>
  <si>
    <t xml:space="preserve">Busca un usuario por su nombre de usuario y actualiza su hash</t>
  </si>
  <si>
    <t xml:space="preserve">usuario, hash</t>
  </si>
  <si>
    <t xml:space="preserve">Comparar contraseñas</t>
  </si>
  <si>
    <t xml:space="preserve">Tabla usuario_municipal. El seed tiene los usuarios admin y operador; el hash BCrypt de ambos se guarda al arrancar (EV-11)</t>
  </si>
  <si>
    <t xml:space="preserve">C-22</t>
  </si>
  <si>
    <t xml:space="preserve">HistorialEstadoDAO (interfaz; HistorialEstadoDAOJdbc)</t>
  </si>
  <si>
    <t xml:space="preserve">Registra cambios de estado, lista el historial, devuelve la última actualización y calcula tiempos promedio</t>
  </si>
  <si>
    <t xml:space="preserve">HistorialEstado / periodo</t>
  </si>
  <si>
    <t xml:space="preserve">Historial, fecha, promedios</t>
  </si>
  <si>
    <t xml:space="preserve">Validar si el cambio de estado es permitido</t>
  </si>
  <si>
    <t xml:space="preserve">Tabla historial_estado. v0.8 rev2: listarPorReporte() alimenta la línea de tiempo de P02</t>
  </si>
  <si>
    <t xml:space="preserve">C-23</t>
  </si>
  <si>
    <t xml:space="preserve">Model/Entity</t>
  </si>
  <si>
    <t xml:space="preserve">Reporte (record)</t>
  </si>
  <si>
    <t xml:space="preserve">Representa un caso o un reporte vinculado (reporteOriginalId vacío = caso)</t>
  </si>
  <si>
    <t xml:space="preserve">Datos validados</t>
  </si>
  <si>
    <t xml:space="preserve">Objeto de dominio</t>
  </si>
  <si>
    <t xml:space="preserve">EstadoReporte</t>
  </si>
  <si>
    <t xml:space="preserve">Consultar la BD por sí solo</t>
  </si>
  <si>
    <t xml:space="preserve">model</t>
  </si>
  <si>
    <t xml:space="preserve">Tabla reporte</t>
  </si>
  <si>
    <t xml:space="preserve">C-24</t>
  </si>
  <si>
    <t xml:space="preserve">Zona (record)</t>
  </si>
  <si>
    <t xml:space="preserve">Representa una zona: un distrito de Piura (Piura, Castilla, Veintiséis de Octubre, Catacaos, La Arena, La Unión)</t>
  </si>
  <si>
    <t xml:space="preserve">Tabla zona. v0.8 rev2: nombres cambiados de zonas genéricas a distritos (commit b64ffd2)</t>
  </si>
  <si>
    <t xml:space="preserve">C-25</t>
  </si>
  <si>
    <t xml:space="preserve">Categoria (record)</t>
  </si>
  <si>
    <t xml:space="preserve">Representa una categoría activa o inactiva</t>
  </si>
  <si>
    <t xml:space="preserve">C-26</t>
  </si>
  <si>
    <t xml:space="preserve">UsuarioMunicipal (record)</t>
  </si>
  <si>
    <t xml:space="preserve">Representa al personal municipal con su rol</t>
  </si>
  <si>
    <t xml:space="preserve">RolUsuario</t>
  </si>
  <si>
    <t xml:space="preserve">Exponer contrasenaHash fuera del servicio de login</t>
  </si>
  <si>
    <t xml:space="preserve">Tabla usuario_municipal</t>
  </si>
  <si>
    <t xml:space="preserve">C-27</t>
  </si>
  <si>
    <t xml:space="preserve">HistorialEstado (record)</t>
  </si>
  <si>
    <t xml:space="preserve">Representa un cambio de estado con fecha y responsable</t>
  </si>
  <si>
    <t xml:space="preserve">Tabla historial_estado</t>
  </si>
  <si>
    <t xml:space="preserve">C-28</t>
  </si>
  <si>
    <t xml:space="preserve">EstadoReporte (enum)</t>
  </si>
  <si>
    <t xml:space="preserve">Define Recibido, En proceso y Atendido y qué cambios son válidos</t>
  </si>
  <si>
    <t xml:space="preserve">Estado actual y nuevo</t>
  </si>
  <si>
    <t xml:space="preserve">true / false</t>
  </si>
  <si>
    <t xml:space="preserve">Acceder a la BD</t>
  </si>
  <si>
    <t xml:space="preserve">CHECK de estado en la BD</t>
  </si>
  <si>
    <t xml:space="preserve">C-29</t>
  </si>
  <si>
    <t xml:space="preserve">RolUsuario (enum)</t>
  </si>
  <si>
    <t xml:space="preserve">Define ADMINISTRADOR y OPERADOR</t>
  </si>
  <si>
    <t xml:space="preserve">Rol</t>
  </si>
  <si>
    <t xml:space="preserve">CHECK de rol en la BD</t>
  </si>
  <si>
    <t xml:space="preserve">C-30</t>
  </si>
  <si>
    <t xml:space="preserve">DTO</t>
  </si>
  <si>
    <t xml:space="preserve">DatosReporte (record)</t>
  </si>
  <si>
    <t xml:space="preserve">Lleva los datos del formulario (categoría, zona, descripción, foto, GPS, dispositivo, suma)</t>
  </si>
  <si>
    <t xml:space="preserve">Formulario</t>
  </si>
  <si>
    <t xml:space="preserve">Objeto para el servicio</t>
  </si>
  <si>
    <t xml:space="preserve">Contener reglas de negocio</t>
  </si>
  <si>
    <t xml:space="preserve">dto</t>
  </si>
  <si>
    <t xml:space="preserve">Incluye los bytes de la foto</t>
  </si>
  <si>
    <t xml:space="preserve">C-31</t>
  </si>
  <si>
    <t xml:space="preserve">ResultadoRegistro (record)</t>
  </si>
  <si>
    <t xml:space="preserve">Informa REGISTRADO, VINCULADO, DUPLICADO_PENDIENTE o RECHAZADO, con código y mensaje</t>
  </si>
  <si>
    <t xml:space="preserve">Resultado del servicio</t>
  </si>
  <si>
    <t xml:space="preserve">Respuesta para el controlador</t>
  </si>
  <si>
    <t xml:space="preserve">Evita que la vista interprete excepciones</t>
  </si>
  <si>
    <t xml:space="preserve">C-32</t>
  </si>
  <si>
    <t xml:space="preserve">ResultadoControl (record)</t>
  </si>
  <si>
    <t xml:space="preserve">Informa si pasó el control o el motivo del rechazo (formato, espera, límite, verificación)</t>
  </si>
  <si>
    <t xml:space="preserve">Resultado del control</t>
  </si>
  <si>
    <t xml:space="preserve">Respuesta para ReporteService</t>
  </si>
  <si>
    <t xml:space="preserve">C-33</t>
  </si>
  <si>
    <t xml:space="preserve">ConsultaEstado (record)</t>
  </si>
  <si>
    <t xml:space="preserve">Lleva el caso, la fecha de su última actualización y los pasos de su línea de tiempo para P02</t>
  </si>
  <si>
    <t xml:space="preserve">Datos para consultar.html</t>
  </si>
  <si>
    <t xml:space="preserve">RF-02. v0.8 rev2: añade la lista de pasos (PasoEstado)</t>
  </si>
  <si>
    <t xml:space="preserve">C-34</t>
  </si>
  <si>
    <t xml:space="preserve">FilaPanel (record)</t>
  </si>
  <si>
    <t xml:space="preserve">Lleva un caso y su cantidad de vinculados para el listado de P03</t>
  </si>
  <si>
    <t xml:space="preserve">Fila del listado</t>
  </si>
  <si>
    <t xml:space="preserve">Columna «Vinc.»; reemplaza al DTO Filtros de v0.7 (los filtros viajan como parámetros)</t>
  </si>
  <si>
    <t xml:space="preserve">C-35</t>
  </si>
  <si>
    <t xml:space="preserve">ConteoZona (record)</t>
  </si>
  <si>
    <t xml:space="preserve">Lleva zona y cantidad de reportes (R01)</t>
  </si>
  <si>
    <t xml:space="preserve">Resultado del DAO</t>
  </si>
  <si>
    <t xml:space="preserve">Fila de R01</t>
  </si>
  <si>
    <t xml:space="preserve">Incluir fotos</t>
  </si>
  <si>
    <t xml:space="preserve">R01</t>
  </si>
  <si>
    <t xml:space="preserve">C-36</t>
  </si>
  <si>
    <t xml:space="preserve">TiempoCategoria (record)</t>
  </si>
  <si>
    <t xml:space="preserve">Lleva categoría, casos atendidos y días promedio (R02)</t>
  </si>
  <si>
    <t xml:space="preserve">Fila de R02</t>
  </si>
  <si>
    <t xml:space="preserve">R02</t>
  </si>
  <si>
    <t xml:space="preserve">C-37</t>
  </si>
  <si>
    <t xml:space="preserve">ResumenGestion (record)</t>
  </si>
  <si>
    <t xml:space="preserve">Lleva casos por estado, duplicados evitados, % de actualizados y el aviso de umbral (R03)</t>
  </si>
  <si>
    <t xml:space="preserve">Datos de R03</t>
  </si>
  <si>
    <t xml:space="preserve">R03</t>
  </si>
  <si>
    <t xml:space="preserve">C-38</t>
  </si>
  <si>
    <t xml:space="preserve">Other</t>
  </si>
  <si>
    <t xml:space="preserve">FotoStorageDisco (@Component)</t>
  </si>
  <si>
    <t xml:space="preserve">Guarda la foto en disco con nombre aleatorio, extensión en minúscula (solo JPG o PNG) y sin salir del directorio configurado; decodifica la imagen para comprobar que el contenido coincide con la extensión (máx. 20 megapíxeles) y registra su huella SHA-256 con Guava</t>
  </si>
  <si>
    <t xml:space="preserve">Ruta fotos/&lt;uuid&gt;.ext</t>
  </si>
  <si>
    <t xml:space="preserve">Directorio de piuravigila.foto.directorio</t>
  </si>
  <si>
    <t xml:space="preserve">Conservar el nombre original ni aceptar extensiones no permitidas</t>
  </si>
  <si>
    <t xml:space="preserve">config</t>
  </si>
  <si>
    <t xml:space="preserve">Q-18; probada con directorio temporal (PV-T33 a PV-T35); v0.8 rev3: PV-T46 y PV-T47 (archivo disfrazado y extensión distinta)</t>
  </si>
  <si>
    <t xml:space="preserve">C-39</t>
  </si>
  <si>
    <t xml:space="preserve">BCryptHash (@Component)</t>
  </si>
  <si>
    <t xml:space="preserve">Codifica y compara contraseñas con BCrypt (spring-security-crypto)</t>
  </si>
  <si>
    <t xml:space="preserve">spring-security-crypto</t>
  </si>
  <si>
    <t xml:space="preserve">Usar Spring Security completo</t>
  </si>
  <si>
    <t xml:space="preserve">Q-09; sin prueba propia (AuthService se prueba con HashContrasena simulado)</t>
  </si>
  <si>
    <t xml:space="preserve">C-40</t>
  </si>
  <si>
    <t xml:space="preserve">AdminInicializador (ApplicationRunner)</t>
  </si>
  <si>
    <t xml:space="preserve">Al arrancar guarda el hash BCrypt de PIURA_ADMIN_PASSWORD y PIURA_OPERADOR_PASSWORD para los usuarios admin y operador, si su hash sigue pendiente</t>
  </si>
  <si>
    <t xml:space="preserve">Variable de entorno</t>
  </si>
  <si>
    <t xml:space="preserve">Hash guardado</t>
  </si>
  <si>
    <t xml:space="preserve">Dejar contraseñas en el código</t>
  </si>
  <si>
    <t xml:space="preserve">Q-15; hash BCrypt de admin y operador verificado en la BD (captura EV-11)</t>
  </si>
  <si>
    <t xml:space="preserve">C-41</t>
  </si>
  <si>
    <t xml:space="preserve">RelojConfig (@Configuration)</t>
  </si>
  <si>
    <t xml:space="preserve">Entrega el Clock con la zona horaria América/Lima para toda la aplicación</t>
  </si>
  <si>
    <t xml:space="preserve">piuravigila.zona-horaria</t>
  </si>
  <si>
    <t xml:space="preserve">Clock</t>
  </si>
  <si>
    <t xml:space="preserve">Permite probar 60 s y «por día» con reloj fijo</t>
  </si>
  <si>
    <t xml:space="preserve">C-42</t>
  </si>
  <si>
    <t xml:space="preserve">application.properties y variables de entorno</t>
  </si>
  <si>
    <t xml:space="preserve">Parámetros (60 s, 3 por día, 2 MB, 10 %), ruta de fotos y credenciales de la BD fuera del código</t>
  </si>
  <si>
    <t xml:space="preserve">Variables PIURA_DB_*, PIURA_ADMIN_PASSWORD, PIURA_OPERADOR_PASSWORD, PIURA_FOTOS_DIR</t>
  </si>
  <si>
    <t xml:space="preserve">Valores de configuración</t>
  </si>
  <si>
    <t xml:space="preserve">Contener contraseñas escritas ni subirse a Git con claves</t>
  </si>
  <si>
    <t xml:space="preserve">resources</t>
  </si>
  <si>
    <t xml:space="preserve">Reemplaza a Configuracion, ConexionBD y TransaccionBD de v0.7 (Q-15, Q-16)</t>
  </si>
  <si>
    <t xml:space="preserve">C-43</t>
  </si>
  <si>
    <t xml:space="preserve">PuntoReporte (record)</t>
  </si>
  <si>
    <t xml:space="preserve">Lleva un reporte con ubicación (coordenadas, zona, categoría, estado y código; el estado y el código son los del caso original si es un vinculado) para dibujar un punto en el mapa P04</t>
  </si>
  <si>
    <t xml:space="preserve">Datos para mapa.html</t>
  </si>
  <si>
    <t xml:space="preserve">Contener reglas de negocio o fotos</t>
  </si>
  <si>
    <t xml:space="preserve">RF-04. Añadido en v0.8 rev2 (commit 32bcc2b)</t>
  </si>
  <si>
    <t xml:space="preserve">C-44</t>
  </si>
  <si>
    <t xml:space="preserve">PasoEstado (record)</t>
  </si>
  <si>
    <t xml:space="preserve">Un paso de la línea de tiempo del caso: el estado, su fecha (vacía si aún no se alcanza) y si es el estado actual</t>
  </si>
  <si>
    <t xml:space="preserve">Historial del caso (HistorialEstado)</t>
  </si>
  <si>
    <t xml:space="preserve">Mostrar quién hizo el cambio ni contener reglas de negocio</t>
  </si>
  <si>
    <t xml:space="preserve">RF-02. Añadido en v0.8 rev2 (commit 32bcc2b)</t>
  </si>
  <si>
    <t xml:space="preserve">C-45</t>
  </si>
  <si>
    <t xml:space="preserve">ExportacionController (@Controller)</t>
  </si>
  <si>
    <t xml:space="preserve">Atiende GET /panel/exportar: exige sesión municipal (401 si no hay), valida el periodo (no invertido ni mayor de 5 años) y devuelve el .xlsx con Cache-Control no-store</t>
  </si>
  <si>
    <t xml:space="preserve">Archivo PiuraVigila_Zonas.xlsx o error 401/400</t>
  </si>
  <si>
    <t xml:space="preserve">ExportacionService, Clock, HttpSession</t>
  </si>
  <si>
    <t xml:space="preserve">Calcular los conteos ni exportar datos personales</t>
  </si>
  <si>
    <t xml:space="preserve">RF-04. Añadido en v0.8 rev3 (commit 52468ca); PV-T50 a PV-T52</t>
  </si>
  <si>
    <t xml:space="preserve">C-46</t>
  </si>
  <si>
    <t xml:space="preserve">ExportacionService (@Service)</t>
  </si>
  <si>
    <t xml:space="preserve">Genera con Apache POI un libro .xlsx con los conteos por zona del periodo; los nombres de zona se escriben como texto, así que uno que empiece con «=» no se interpreta como fórmula</t>
  </si>
  <si>
    <t xml:space="preserve">Bytes del archivo .xlsx</t>
  </si>
  <si>
    <t xml:space="preserve">DashboardService</t>
  </si>
  <si>
    <t xml:space="preserve">Incluir fotos, descripciones, códigos o contraseñas</t>
  </si>
  <si>
    <t xml:space="preserve">RF-04. Añadido en v0.8 rev3 (commit 52468ca); PV-T55</t>
  </si>
  <si>
    <t xml:space="preserve">C-47</t>
  </si>
  <si>
    <t xml:space="preserve">C-48</t>
  </si>
  <si>
    <t xml:space="preserve">C-49</t>
  </si>
  <si>
    <t xml:space="preserve">C-50</t>
  </si>
  <si>
    <t xml:space="preserve">C-51</t>
  </si>
  <si>
    <t xml:space="preserve">C-52</t>
  </si>
  <si>
    <t xml:space="preserve">C-53</t>
  </si>
  <si>
    <t xml:space="preserve">C-54</t>
  </si>
  <si>
    <t xml:space="preserve">C-55</t>
  </si>
  <si>
    <t xml:space="preserve">C-56</t>
  </si>
  <si>
    <t xml:space="preserve">C-57</t>
  </si>
  <si>
    <t xml:space="preserve">C-58</t>
  </si>
  <si>
    <t xml:space="preserve">C-59</t>
  </si>
  <si>
    <t xml:space="preserve">C-60</t>
  </si>
  <si>
    <t xml:space="preserve">C-61</t>
  </si>
  <si>
    <t xml:space="preserve">C-62</t>
  </si>
  <si>
    <t xml:space="preserve">C-63</t>
  </si>
  <si>
    <t xml:space="preserve">C-64</t>
  </si>
  <si>
    <t xml:space="preserve">C-65</t>
  </si>
  <si>
    <t xml:space="preserve">C-66</t>
  </si>
  <si>
    <t xml:space="preserve">C-67</t>
  </si>
  <si>
    <t xml:space="preserve">C-68</t>
  </si>
  <si>
    <t xml:space="preserve">C-69</t>
  </si>
  <si>
    <t xml:space="preserve">C-70</t>
  </si>
  <si>
    <t xml:space="preserve">C-71</t>
  </si>
  <si>
    <t xml:space="preserve">C-72</t>
  </si>
  <si>
    <t xml:space="preserve">C-73</t>
  </si>
  <si>
    <t xml:space="preserve">C-74</t>
  </si>
  <si>
    <t xml:space="preserve">C-75</t>
  </si>
  <si>
    <t xml:space="preserve">C-76</t>
  </si>
  <si>
    <t xml:space="preserve">C-77</t>
  </si>
  <si>
    <t xml:space="preserve">C-78</t>
  </si>
  <si>
    <t xml:space="preserve">C-79</t>
  </si>
  <si>
    <t xml:space="preserve">C-80</t>
  </si>
  <si>
    <t xml:space="preserve">C-81</t>
  </si>
  <si>
    <t xml:space="preserve">C-82</t>
  </si>
  <si>
    <t xml:space="preserve">C-83</t>
  </si>
  <si>
    <t xml:space="preserve">C-84</t>
  </si>
  <si>
    <t xml:space="preserve">C-85</t>
  </si>
  <si>
    <t xml:space="preserve">C-86</t>
  </si>
  <si>
    <t xml:space="preserve">C-87</t>
  </si>
  <si>
    <t xml:space="preserve">C-88</t>
  </si>
  <si>
    <t xml:space="preserve">C-89</t>
  </si>
  <si>
    <t xml:space="preserve">C-90</t>
  </si>
  <si>
    <t xml:space="preserve">C-91</t>
  </si>
  <si>
    <t xml:space="preserve">C-92</t>
  </si>
  <si>
    <t xml:space="preserve">C-93</t>
  </si>
  <si>
    <t xml:space="preserve">C-94</t>
  </si>
  <si>
    <t xml:space="preserve">C-95</t>
  </si>
  <si>
    <t xml:space="preserve">C-96</t>
  </si>
  <si>
    <t xml:space="preserve">C-97</t>
  </si>
  <si>
    <t xml:space="preserve">C-98</t>
  </si>
  <si>
    <t xml:space="preserve">C-99</t>
  </si>
  <si>
    <t xml:space="preserve">C-100</t>
  </si>
  <si>
    <t xml:space="preserve">Trazabilidad: evidencia de diseño → componente → código</t>
  </si>
  <si>
    <t xml:space="preserve">Flujo / actividad</t>
  </si>
  <si>
    <t xml:space="preserve">Pantalla</t>
  </si>
  <si>
    <t xml:space="preserve">Entidad / tabla</t>
  </si>
  <si>
    <t xml:space="preserve">Regla / validación</t>
  </si>
  <si>
    <t xml:space="preserve">Prueba TDD</t>
  </si>
  <si>
    <t xml:space="preserve">Control seguridad</t>
  </si>
  <si>
    <t xml:space="preserve">Evidencia futura Semana 10</t>
  </si>
  <si>
    <t xml:space="preserve">1. Completar el formulario</t>
  </si>
  <si>
    <t xml:space="preserve">reporte, categoria, zona</t>
  </si>
  <si>
    <t xml:space="preserve">CategoriaDAO, ZonaDAO</t>
  </si>
  <si>
    <t xml:space="preserve">Campos obligatorios; foto ≤ 2 MB; descripción ≤ 300</t>
  </si>
  <si>
    <t xml:space="preserve">T-04 (PV-T02, PV-T03, PV-T23 a PV-T25)</t>
  </si>
  <si>
    <t xml:space="preserve">Q-07 Validación de entrada</t>
  </si>
  <si>
    <t xml:space="preserve">validar() de ValidadorReporte; listarActivas(); listar()</t>
  </si>
  <si>
    <t xml:space="preserve">Trazado</t>
  </si>
  <si>
    <t xml:space="preserve">2. Resolver la verificación</t>
  </si>
  <si>
    <t xml:space="preserve">ControlAntiSpam</t>
  </si>
  <si>
    <t xml:space="preserve">T-03 (PV-T17, PV-T18)</t>
  </si>
  <si>
    <t xml:space="preserve">Q-12 Reglas anti-spam en el servidor</t>
  </si>
  <si>
    <t xml:space="preserve">validar()</t>
  </si>
  <si>
    <t xml:space="preserve">3. Validar controles anti-spam</t>
  </si>
  <si>
    <t xml:space="preserve">reporte (dispositivo_id, fecha_registro)</t>
  </si>
  <si>
    <t xml:space="preserve">ReporteService / ControlAntiSpam</t>
  </si>
  <si>
    <t xml:space="preserve">ReporteDAO</t>
  </si>
  <si>
    <t xml:space="preserve">60 s entre reportes; máx. 3 por día; los vinculados cuentan</t>
  </si>
  <si>
    <t xml:space="preserve">T-01, T-02 (PV-T19 a PV-T22)</t>
  </si>
  <si>
    <t xml:space="preserve">validar(); ultimoEnvio(); contarEnDia()</t>
  </si>
  <si>
    <t xml:space="preserve">4. Buscar caso abierto igual</t>
  </si>
  <si>
    <t xml:space="preserve">reporte (categoria_id, zona_id, estado)</t>
  </si>
  <si>
    <t xml:space="preserve">Misma categoría + zona + reporte abierto; sin fotos</t>
  </si>
  <si>
    <t xml:space="preserve">T-05, T-08 (PV-T04 a PV-T06)</t>
  </si>
  <si>
    <t xml:space="preserve">Q-08 SQL parametrizado</t>
  </si>
  <si>
    <t xml:space="preserve">buscarCasoAbierto()</t>
  </si>
  <si>
    <t xml:space="preserve">5. Preguntar si es el mismo problema</t>
  </si>
  <si>
    <t xml:space="preserve">reporte</t>
  </si>
  <si>
    <t xml:space="preserve">Decide el ciudadano</t>
  </si>
  <si>
    <t xml:space="preserve">T-05 (PV-T04)</t>
  </si>
  <si>
    <t xml:space="preserve">Q-11 Errores controlados</t>
  </si>
  <si>
    <t xml:space="preserve">registrarReporte() devuelve DUPLICADO_PENDIENTE</t>
  </si>
  <si>
    <t xml:space="preserve">6. Vincular al caso original</t>
  </si>
  <si>
    <t xml:space="preserve">reporte (reporte_original_id)</t>
  </si>
  <si>
    <t xml:space="preserve">Vinculado sin código propio; cuenta para el límite diario</t>
  </si>
  <si>
    <t xml:space="preserve">T-06, T-07 (PV-T07 a PV-T11)</t>
  </si>
  <si>
    <t xml:space="preserve">responderDuplicado(); insertarVinculado()</t>
  </si>
  <si>
    <t xml:space="preserve">7. Registrar caso nuevo y generar código</t>
  </si>
  <si>
    <t xml:space="preserve">reporte (código de seguimiento), historial_estado</t>
  </si>
  <si>
    <t xml:space="preserve">ReporteService (@Transactional)</t>
  </si>
  <si>
    <t xml:space="preserve">ReporteDAO, HistorialEstadoDAO</t>
  </si>
  <si>
    <t xml:space="preserve">Código PR-AAAA-#### único; estado inicial Recibido</t>
  </si>
  <si>
    <t xml:space="preserve">T-07, T-09, T-10, T-23 (PV-T01, PV-T08; PV-T36 y PV-T37 por diseñar)</t>
  </si>
  <si>
    <t xml:space="preserve">Q-13 Concurrencia; Q-16 Transacción</t>
  </si>
  <si>
    <t xml:space="preserve">insertarCaso(); registrar()</t>
  </si>
  <si>
    <t xml:space="preserve">8. Consultar estado por código</t>
  </si>
  <si>
    <t xml:space="preserve">reporte, historial_estado</t>
  </si>
  <si>
    <t xml:space="preserve">Código del caso; muestra la última actualización y la línea de tiempo</t>
  </si>
  <si>
    <t xml:space="preserve">T-17, T-18 (PV-T15, PV-T16, PV-T44, PV-T45)</t>
  </si>
  <si>
    <t xml:space="preserve">Q-08 SQL parametrizado; Q-11 Errores controlados</t>
  </si>
  <si>
    <t xml:space="preserve">consultarEstado(); listarPorReporte()</t>
  </si>
  <si>
    <t xml:space="preserve">9. Iniciar sesión</t>
  </si>
  <si>
    <t xml:space="preserve">usuario_municipal</t>
  </si>
  <si>
    <t xml:space="preserve">AuthService</t>
  </si>
  <si>
    <t xml:space="preserve">UsuarioMunicipalDAO</t>
  </si>
  <si>
    <t xml:space="preserve">Contraseña comparada contra su hash BCrypt; mensaje genérico</t>
  </si>
  <si>
    <t xml:space="preserve">T-14 (PV-T30)</t>
  </si>
  <si>
    <t xml:space="preserve">Q-09 Contraseñas; Q-10 Control de acceso; Q-19 Sesión</t>
  </si>
  <si>
    <t xml:space="preserve">autenticar(); buscarPorUsuario()</t>
  </si>
  <si>
    <t xml:space="preserve">10. Revisar listado de casos</t>
  </si>
  <si>
    <t xml:space="preserve">Solo casos; filtros; 20 por página</t>
  </si>
  <si>
    <t xml:space="preserve">T-13, T-19 (PV-T39 verde en mvn test real; T-19 por diseñar, sin PV propia)</t>
  </si>
  <si>
    <t xml:space="preserve">Q-10 Control de acceso</t>
  </si>
  <si>
    <t xml:space="preserve">listarPanel(); listarCasos()</t>
  </si>
  <si>
    <t xml:space="preserve">11. Cambiar estado del caso</t>
  </si>
  <si>
    <t xml:space="preserve">El estado solo avanza; guarda fecha y responsable</t>
  </si>
  <si>
    <t xml:space="preserve">T-11, T-12 (PV-T12 a PV-T14)</t>
  </si>
  <si>
    <t xml:space="preserve">Q-10 Control de acceso; Q-16 Transacción; Q-17 CSRF</t>
  </si>
  <si>
    <t xml:space="preserve">cambiarEstado()</t>
  </si>
  <si>
    <t xml:space="preserve">12. Ver zonas críticas</t>
  </si>
  <si>
    <t xml:space="preserve">P04 Mapa de zonas críticas; P03 (tabla R01)</t>
  </si>
  <si>
    <t xml:space="preserve">reporte, zona</t>
  </si>
  <si>
    <t xml:space="preserve">El conteo incluye vinculados; los reportes con ubicación se dibujan como puntos</t>
  </si>
  <si>
    <t xml:space="preserve">T-21 (PV-T31; PV-T40 por diseñar)</t>
  </si>
  <si>
    <t xml:space="preserve">Q-10 Control de acceso por rol</t>
  </si>
  <si>
    <t xml:space="preserve">mapa(); zonasCriticas(); reportesPorZona(); puntosReportes(); puntosPeriodo()</t>
  </si>
  <si>
    <t xml:space="preserve">13. Ver resumen de gestión</t>
  </si>
  <si>
    <t xml:space="preserve">P03 (R01 a R03, sin fotos)</t>
  </si>
  <si>
    <t xml:space="preserve">reporte, categoria, historial_estado</t>
  </si>
  <si>
    <t xml:space="preserve">ReporteDAO, CategoriaDAO, HistorialEstadoDAO</t>
  </si>
  <si>
    <t xml:space="preserve">Sin fotos; tiempos solo de casos Atendidos; R02 solo administrador</t>
  </si>
  <si>
    <t xml:space="preserve">T-20, T-21, T-24 (PV-T32; PV-T42 verde en mvn test real; PV-T40 por diseñar)</t>
  </si>
  <si>
    <t xml:space="preserve">Q-10 Control de acceso; Q-14 Privacidad</t>
  </si>
  <si>
    <t xml:space="preserve">resumenGestion(); tiempoPromedio()</t>
  </si>
  <si>
    <t xml:space="preserve">14. Habilitar categoría faltante</t>
  </si>
  <si>
    <t xml:space="preserve">categoria</t>
  </si>
  <si>
    <t xml:space="preserve">CategoriaService</t>
  </si>
  <si>
    <t xml:space="preserve">Umbral de 10 % del mes; nombre único; solo administrador</t>
  </si>
  <si>
    <t xml:space="preserve">T-15, T-16, T-22 (PV-T26 a PV-T29 y PV-T41; PV-T41 verde en mvn test real)</t>
  </si>
  <si>
    <t xml:space="preserve">Q-10 Control de acceso (rol administrador exigido en habilitarCategoria())</t>
  </si>
  <si>
    <t xml:space="preserve">porcentajeOtraMes(); habilitar(); insertar()</t>
  </si>
  <si>
    <t xml:space="preserve">15. Exportar zonas a Excel</t>
  </si>
  <si>
    <t xml:space="preserve">ExportacionController</t>
  </si>
  <si>
    <t xml:space="preserve">ExportacionService; DashboardService</t>
  </si>
  <si>
    <t xml:space="preserve">Solo con sesión municipal; periodo válido; solo conteos por zona</t>
  </si>
  <si>
    <t xml:space="preserve">PV-T50 a PV-T52 y PV-T55 (MockMvc y Apache POI)</t>
  </si>
  <si>
    <t xml:space="preserve">Q-21 Exportación de datos; Q-10 Control de acceso</t>
  </si>
  <si>
    <t xml:space="preserve">descargar(); zonas(); zonasCriticas()</t>
  </si>
  <si>
    <t xml:space="preserve">Diseño mínimo de pruebas TDD del flujo crítico</t>
  </si>
  <si>
    <t xml:space="preserve">Comportamiento a probar</t>
  </si>
  <si>
    <t xml:space="preserve">Dado</t>
  </si>
  <si>
    <t xml:space="preserve">Cuando</t>
  </si>
  <si>
    <t xml:space="preserve">Entonces</t>
  </si>
  <si>
    <t xml:space="preserve">Unidad objetivo</t>
  </si>
  <si>
    <t xml:space="preserve">Dependencia a aislar</t>
  </si>
  <si>
    <t xml:space="preserve">Estado inicial</t>
  </si>
  <si>
    <t xml:space="preserve">Criterio de éxito</t>
  </si>
  <si>
    <t xml:space="preserve">Equivalente en código v0.8</t>
  </si>
  <si>
    <t xml:space="preserve">T-01</t>
  </si>
  <si>
    <t xml:space="preserve">No permitir otro reporte antes de 60 s</t>
  </si>
  <si>
    <t xml:space="preserve">un dispositivo cuyo último reporte fue hace 30 s</t>
  </si>
  <si>
    <t xml:space="preserve">envía otro reporte</t>
  </si>
  <si>
    <t xml:space="preserve">el control rechaza con el tiempo de espera</t>
  </si>
  <si>
    <t xml:space="preserve">ReporteDAO (ultimoEnvio)</t>
  </si>
  <si>
    <t xml:space="preserve">Resultado RECHAZADO por intervalo y no se invoca insertar</t>
  </si>
  <si>
    <t xml:space="preserve">PV-T19, PV-T20 · Verde (DAO simulado)</t>
  </si>
  <si>
    <t xml:space="preserve">T-02</t>
  </si>
  <si>
    <t xml:space="preserve">No permitir el cuarto reporte del día</t>
  </si>
  <si>
    <t xml:space="preserve">un dispositivo con 3 reportes hoy (vinculados incluidos)</t>
  </si>
  <si>
    <t xml:space="preserve">el control rechaza por límite diario</t>
  </si>
  <si>
    <t xml:space="preserve">ReporteDAO (contarEnDia)</t>
  </si>
  <si>
    <t xml:space="preserve">Resultado RECHAZADO por límite y no se guarda nada</t>
  </si>
  <si>
    <t xml:space="preserve">PV-T21, PV-T22 · Verde</t>
  </si>
  <si>
    <t xml:space="preserve">T-03</t>
  </si>
  <si>
    <t xml:space="preserve">Rechazar una verificación incorrecta</t>
  </si>
  <si>
    <t xml:space="preserve">una respuesta de suma distinta de la esperada</t>
  </si>
  <si>
    <t xml:space="preserve">se envía el formulario</t>
  </si>
  <si>
    <t xml:space="preserve">el control rechaza y pide otra suma</t>
  </si>
  <si>
    <t xml:space="preserve">Generador de la suma (valor fijo en la prueba)</t>
  </si>
  <si>
    <t xml:space="preserve">Resultado RECHAZADO por verificación</t>
  </si>
  <si>
    <t xml:space="preserve">PV-T17, PV-T18 · Verde</t>
  </si>
  <si>
    <t xml:space="preserve">T-04</t>
  </si>
  <si>
    <t xml:space="preserve">Rechazar una foto de más de 2 MB</t>
  </si>
  <si>
    <t xml:space="preserve">una foto de 3 MB</t>
  </si>
  <si>
    <t xml:space="preserve">se valida el formulario</t>
  </si>
  <si>
    <t xml:space="preserve">el validador devuelve el error de tamaño</t>
  </si>
  <si>
    <t xml:space="preserve">ValidadorReporte</t>
  </si>
  <si>
    <t xml:space="preserve">Ninguna</t>
  </si>
  <si>
    <t xml:space="preserve">Lista de errores con «foto demasiado pesada»</t>
  </si>
  <si>
    <t xml:space="preserve">PV-T02, PV-T03, PV-T23, PV-T24 (y PV-T25 como adicional) · Verde</t>
  </si>
  <si>
    <t xml:space="preserve">T-05</t>
  </si>
  <si>
    <t xml:space="preserve">Avisar de un posible duplicado</t>
  </si>
  <si>
    <t xml:space="preserve">un caso en Recibido con la misma categoría y zona</t>
  </si>
  <si>
    <t xml:space="preserve">se registra un reporte nuevo</t>
  </si>
  <si>
    <t xml:space="preserve">el servicio devuelve DUPLICADO_PENDIENTE con ese caso</t>
  </si>
  <si>
    <t xml:space="preserve">ReporteDAO, ControlAntiSpam</t>
  </si>
  <si>
    <t xml:space="preserve">No se inserta nada y el resultado trae el código del caso</t>
  </si>
  <si>
    <t xml:space="preserve">PV-T04, PV-T05 · Verde</t>
  </si>
  <si>
    <t xml:space="preserve">T-06</t>
  </si>
  <si>
    <t xml:space="preserve">Vincular el reporte cuando el ciudadano confirma</t>
  </si>
  <si>
    <t xml:space="preserve">un duplicado pendiente</t>
  </si>
  <si>
    <t xml:space="preserve">el ciudadano responde «sí, es el mismo»</t>
  </si>
  <si>
    <t xml:space="preserve">se guarda el vínculo sin código nuevo</t>
  </si>
  <si>
    <t xml:space="preserve">insertarVinculado() invocado y se devuelve el código del original</t>
  </si>
  <si>
    <t xml:space="preserve">PV-T07, PV-T10, PV-T11 · Verde</t>
  </si>
  <si>
    <t xml:space="preserve">T-07</t>
  </si>
  <si>
    <t xml:space="preserve">Registrar caso nuevo si responde «es otro»</t>
  </si>
  <si>
    <t xml:space="preserve">el ciudadano responde «no, es otro»</t>
  </si>
  <si>
    <t xml:space="preserve">se crea un caso nuevo en Recibido</t>
  </si>
  <si>
    <t xml:space="preserve">insertarCaso() y registrar() invocados</t>
  </si>
  <si>
    <t xml:space="preserve">PV-T08 · Verde</t>
  </si>
  <si>
    <t xml:space="preserve">T-08</t>
  </si>
  <si>
    <t xml:space="preserve">No vincular a un caso Atendido</t>
  </si>
  <si>
    <t xml:space="preserve">el único caso de esa categoría y zona está Atendido</t>
  </si>
  <si>
    <t xml:space="preserve">se crea un caso nuevo sin aviso</t>
  </si>
  <si>
    <t xml:space="preserve">ReporteDAO (buscarCasoAbierto devuelve vacío)</t>
  </si>
  <si>
    <t xml:space="preserve">Resultado REGISTRADO y sin aviso de duplicado</t>
  </si>
  <si>
    <t xml:space="preserve">PV-T06, PV-T09 · Verde</t>
  </si>
  <si>
    <t xml:space="preserve">T-09</t>
  </si>
  <si>
    <t xml:space="preserve">Generar el código con formato PR-AAAA-####</t>
  </si>
  <si>
    <t xml:space="preserve">una base de datos de prueba vacía</t>
  </si>
  <si>
    <t xml:space="preserve">se registra un caso</t>
  </si>
  <si>
    <t xml:space="preserve">el caso recibe un código con ese formato</t>
  </si>
  <si>
    <t xml:space="preserve">Base de datos de prueba</t>
  </si>
  <si>
    <t xml:space="preserve">Código que cumple PR-AAAA-#### (prueba de integración)</t>
  </si>
  <si>
    <t xml:space="preserve">Por diseñar</t>
  </si>
  <si>
    <t xml:space="preserve">PV-T36 · Por diseñar (requiere PostgreSQL); PV-T01 solo con DAO simulado</t>
  </si>
  <si>
    <t xml:space="preserve">T-10</t>
  </si>
  <si>
    <t xml:space="preserve">No repetir códigos con envíos simultáneos</t>
  </si>
  <si>
    <t xml:space="preserve">100 envíos simultáneos de dispositivos distintos</t>
  </si>
  <si>
    <t xml:space="preserve">se registran a la vez</t>
  </si>
  <si>
    <t xml:space="preserve">los códigos son todos distintos y no se pierde ninguno</t>
  </si>
  <si>
    <t xml:space="preserve">100 códigos distintos (prueba de integración)</t>
  </si>
  <si>
    <t xml:space="preserve">PV-T37 · Por diseñar (requiere PostgreSQL)</t>
  </si>
  <si>
    <t xml:space="preserve">T-11</t>
  </si>
  <si>
    <t xml:space="preserve">No retroceder el estado de un caso</t>
  </si>
  <si>
    <t xml:space="preserve">un caso Atendido</t>
  </si>
  <si>
    <t xml:space="preserve">se pide pasarlo a En proceso</t>
  </si>
  <si>
    <t xml:space="preserve">el servicio rechaza el cambio</t>
  </si>
  <si>
    <t xml:space="preserve">HistorialEstadoDAO</t>
  </si>
  <si>
    <t xml:space="preserve">Cambio rechazado y sin nuevo historial</t>
  </si>
  <si>
    <t xml:space="preserve">PV-T13, PV-T14 · Verde</t>
  </si>
  <si>
    <t xml:space="preserve">T-12</t>
  </si>
  <si>
    <t xml:space="preserve">Registrar historial con responsable</t>
  </si>
  <si>
    <t xml:space="preserve">un caso Recibido y un operador autenticado</t>
  </si>
  <si>
    <t xml:space="preserve">cambia el estado a En proceso</t>
  </si>
  <si>
    <t xml:space="preserve">se guarda un historial con fecha y usuario</t>
  </si>
  <si>
    <t xml:space="preserve">registrar() invocado con el usuario y el estado nuevo</t>
  </si>
  <si>
    <t xml:space="preserve">PV-T12 · Verde</t>
  </si>
  <si>
    <t xml:space="preserve">T-13</t>
  </si>
  <si>
    <t xml:space="preserve">Negar el listado sin sesión</t>
  </si>
  <si>
    <t xml:space="preserve">una petición sin sesión iniciada</t>
  </si>
  <si>
    <t xml:space="preserve">se pide el listado de casos</t>
  </si>
  <si>
    <t xml:space="preserve">el controlador deniega el acceso</t>
  </si>
  <si>
    <t xml:space="preserve">AuthService, HttpSession</t>
  </si>
  <si>
    <t xml:space="preserve">Acceso denegado y sin consultar el servicio</t>
  </si>
  <si>
    <t xml:space="preserve">PV-T39 · Verde: PanelControllerTest (MockMvc), mvn test real el 23/10/2026, 0 fallos</t>
  </si>
  <si>
    <t xml:space="preserve">T-14</t>
  </si>
  <si>
    <t xml:space="preserve">Autenticar con la contraseña hasheada</t>
  </si>
  <si>
    <t xml:space="preserve">un usuario con contrasena_hash guardado</t>
  </si>
  <si>
    <t xml:space="preserve">ingresa contraseña correcta o incorrecta</t>
  </si>
  <si>
    <t xml:space="preserve">entra o recibe un mensaje genérico</t>
  </si>
  <si>
    <t xml:space="preserve">Éxito solo con la correcta; el mensaje no dice cuál dato falló</t>
  </si>
  <si>
    <t xml:space="preserve">PV-T30 · Verde</t>
  </si>
  <si>
    <t xml:space="preserve">T-15</t>
  </si>
  <si>
    <t xml:space="preserve">Detectar que «Otra» supera el umbral</t>
  </si>
  <si>
    <t xml:space="preserve">12 de 100 reportes del mes en «Otra»</t>
  </si>
  <si>
    <t xml:space="preserve">se evalúa el umbral</t>
  </si>
  <si>
    <t xml:space="preserve">el servicio indica que se superó el 10 %</t>
  </si>
  <si>
    <t xml:space="preserve">CategoriaDAO (porcentajeOtraMes)</t>
  </si>
  <si>
    <t xml:space="preserve">Resultado «umbral superado»</t>
  </si>
  <si>
    <t xml:space="preserve">PV-T29 · Verde</t>
  </si>
  <si>
    <t xml:space="preserve">T-16</t>
  </si>
  <si>
    <t xml:space="preserve">Rechazar una categoría repetida</t>
  </si>
  <si>
    <t xml:space="preserve">la categoría «Bache en la vía» ya existe</t>
  </si>
  <si>
    <t xml:space="preserve">se intenta registrar «bache en la vía»</t>
  </si>
  <si>
    <t xml:space="preserve">el servicio rechaza el nombre repetido</t>
  </si>
  <si>
    <t xml:space="preserve">CategoriaDAO (existeNombre)</t>
  </si>
  <si>
    <t xml:space="preserve">No se inserta y se devuelve el mensaje «Categoría ya existe»</t>
  </si>
  <si>
    <t xml:space="preserve">PV-T27 · Verde</t>
  </si>
  <si>
    <t xml:space="preserve">T-17</t>
  </si>
  <si>
    <t xml:space="preserve">Mostrar estado y última actualización por código</t>
  </si>
  <si>
    <t xml:space="preserve">un caso con dos cambios de estado</t>
  </si>
  <si>
    <t xml:space="preserve">se consulta su código</t>
  </si>
  <si>
    <t xml:space="preserve">se devuelve categoría, estado, fecha de registro y última actualización y los tres pasos de la línea de tiempo</t>
  </si>
  <si>
    <t xml:space="preserve">Datos completos con la fecha del último cambio y los pasos con su fecha (o pendientes)</t>
  </si>
  <si>
    <t xml:space="preserve">PV-T15, PV-T44, PV-T45 · Verde (los dos últimos desde v0.8 rev2)</t>
  </si>
  <si>
    <t xml:space="preserve">T-18</t>
  </si>
  <si>
    <t xml:space="preserve">Informar un código inexistente</t>
  </si>
  <si>
    <t xml:space="preserve">un código que no existe</t>
  </si>
  <si>
    <t xml:space="preserve">se consulta</t>
  </si>
  <si>
    <t xml:space="preserve">se devuelve «Código no encontrado»</t>
  </si>
  <si>
    <t xml:space="preserve">Resultado vacío controlado, sin excepción</t>
  </si>
  <si>
    <t xml:space="preserve">PV-T16 · Verde</t>
  </si>
  <si>
    <t xml:space="preserve">T-19</t>
  </si>
  <si>
    <t xml:space="preserve">Listar solo casos y 20 por página</t>
  </si>
  <si>
    <t xml:space="preserve">45 casos y varios reportes vinculados</t>
  </si>
  <si>
    <t xml:space="preserve">se pide la página 1</t>
  </si>
  <si>
    <t xml:space="preserve">se devuelven 20 casos y ningún vinculado</t>
  </si>
  <si>
    <t xml:space="preserve">20 filas, todas con reporte_original_id vacío</t>
  </si>
  <si>
    <t xml:space="preserve">T-19 sin prueba PV propia (PV-T38 cubre buscarCasoAbierto()) · Por diseñar (requiere PostgreSQL)</t>
  </si>
  <si>
    <t xml:space="preserve">T-20</t>
  </si>
  <si>
    <t xml:space="preserve">Calcular tiempos solo con casos Atendidos</t>
  </si>
  <si>
    <t xml:space="preserve">casos Atendidos, abiertos y vinculados</t>
  </si>
  <si>
    <t xml:space="preserve">se calcula el tiempo de atención</t>
  </si>
  <si>
    <t xml:space="preserve">solo cuentan los casos Atendidos</t>
  </si>
  <si>
    <t xml:space="preserve">Promedio calculado sin abiertos ni vinculados</t>
  </si>
  <si>
    <t xml:space="preserve">PV-T40 · Por diseñar (SQL real); PV-T32 cubre R03</t>
  </si>
  <si>
    <t xml:space="preserve">T-21</t>
  </si>
  <si>
    <t xml:space="preserve">Contar los vinculados en las zonas críticas</t>
  </si>
  <si>
    <t xml:space="preserve">una zona con 2 casos y 3 reportes vinculados</t>
  </si>
  <si>
    <t xml:space="preserve">se calcula R01</t>
  </si>
  <si>
    <t xml:space="preserve">la zona suma 5 reportes</t>
  </si>
  <si>
    <t xml:space="preserve">ReporteDAO (reportesPorZona)</t>
  </si>
  <si>
    <t xml:space="preserve">Conteo de 5 para esa zona</t>
  </si>
  <si>
    <t xml:space="preserve">PV-T40 · Por diseñar (SQL real)</t>
  </si>
  <si>
    <t xml:space="preserve">T-22</t>
  </si>
  <si>
    <t xml:space="preserve">Negar la categoría nueva a un operador</t>
  </si>
  <si>
    <t xml:space="preserve">un operador autenticado</t>
  </si>
  <si>
    <t xml:space="preserve">intenta habilitar una categoría</t>
  </si>
  <si>
    <t xml:space="preserve">el controlador deniega el permiso</t>
  </si>
  <si>
    <t xml:space="preserve">HttpSession, CategoriaService</t>
  </si>
  <si>
    <t xml:space="preserve">Acceso denegado y CategoriaService no invocado</t>
  </si>
  <si>
    <t xml:space="preserve">PV-T41 · Verde: PanelControllerTest (MockMvc), mvn test real el 23/10/2026, 0 fallos</t>
  </si>
  <si>
    <t xml:space="preserve">T-23</t>
  </si>
  <si>
    <t xml:space="preserve">Deshacer el caso si falla el historial</t>
  </si>
  <si>
    <t xml:space="preserve">el registro del historial lanza un error</t>
  </si>
  <si>
    <t xml:space="preserve">se registra un caso nuevo</t>
  </si>
  <si>
    <t xml:space="preserve">no queda guardado el caso y se informa un error controlado</t>
  </si>
  <si>
    <t xml:space="preserve">ReporteDAO, HistorialEstadoDAO (@Transactional)</t>
  </si>
  <si>
    <t xml:space="preserve">Rollback invocado y resultado de error controlado</t>
  </si>
  <si>
    <t xml:space="preserve">Sin prueba: depende de @Transactional real (integración)</t>
  </si>
  <si>
    <t xml:space="preserve">T-24</t>
  </si>
  <si>
    <t xml:space="preserve">Mostrar los tiempos de atención solo al administrador</t>
  </si>
  <si>
    <t xml:space="preserve">pide el R02 (tiempos de atención)</t>
  </si>
  <si>
    <t xml:space="preserve">HttpSession, DashboardService</t>
  </si>
  <si>
    <t xml:space="preserve">Acceso denegado y DashboardService no invocado</t>
  </si>
  <si>
    <t xml:space="preserve">PV-T42 · Verde: PanelControllerTest (MockMvc), mvn test real el 23/10/2026, 0 fallos</t>
  </si>
  <si>
    <t xml:space="preserve">T-25</t>
  </si>
  <si>
    <t xml:space="preserve">T-26</t>
  </si>
  <si>
    <t xml:space="preserve">T-27</t>
  </si>
  <si>
    <t xml:space="preserve">T-28</t>
  </si>
  <si>
    <t xml:space="preserve">T-29</t>
  </si>
  <si>
    <t xml:space="preserve">T-30</t>
  </si>
  <si>
    <t xml:space="preserve">T-31</t>
  </si>
  <si>
    <t xml:space="preserve">T-32</t>
  </si>
  <si>
    <t xml:space="preserve">T-33</t>
  </si>
  <si>
    <t xml:space="preserve">T-34</t>
  </si>
  <si>
    <t xml:space="preserve">T-35</t>
  </si>
  <si>
    <t xml:space="preserve">T-36</t>
  </si>
  <si>
    <t xml:space="preserve">T-37</t>
  </si>
  <si>
    <t xml:space="preserve">T-38</t>
  </si>
  <si>
    <t xml:space="preserve">T-39</t>
  </si>
  <si>
    <t xml:space="preserve">T-40</t>
  </si>
  <si>
    <t xml:space="preserve">T-41</t>
  </si>
  <si>
    <t xml:space="preserve">T-42</t>
  </si>
  <si>
    <t xml:space="preserve">T-43</t>
  </si>
  <si>
    <t xml:space="preserve">T-44</t>
  </si>
  <si>
    <t xml:space="preserve">T-45</t>
  </si>
  <si>
    <t xml:space="preserve">T-46</t>
  </si>
  <si>
    <t xml:space="preserve">T-47</t>
  </si>
  <si>
    <t xml:space="preserve">T-48</t>
  </si>
  <si>
    <t xml:space="preserve">T-49</t>
  </si>
  <si>
    <t xml:space="preserve">T-50</t>
  </si>
  <si>
    <t xml:space="preserve">T-51</t>
  </si>
  <si>
    <t xml:space="preserve">T-52</t>
  </si>
  <si>
    <t xml:space="preserve">T-53</t>
  </si>
  <si>
    <t xml:space="preserve">T-54</t>
  </si>
  <si>
    <t xml:space="preserve">T-55</t>
  </si>
  <si>
    <t xml:space="preserve">T-56</t>
  </si>
  <si>
    <t xml:space="preserve">T-57</t>
  </si>
  <si>
    <t xml:space="preserve">T-58</t>
  </si>
  <si>
    <t xml:space="preserve">T-59</t>
  </si>
  <si>
    <t xml:space="preserve">T-60</t>
  </si>
  <si>
    <t xml:space="preserve">T-61</t>
  </si>
  <si>
    <t xml:space="preserve">T-62</t>
  </si>
  <si>
    <t xml:space="preserve">T-63</t>
  </si>
  <si>
    <t xml:space="preserve">T-64</t>
  </si>
  <si>
    <t xml:space="preserve">T-65</t>
  </si>
  <si>
    <t xml:space="preserve">T-66</t>
  </si>
  <si>
    <t xml:space="preserve">T-67</t>
  </si>
  <si>
    <t xml:space="preserve">T-68</t>
  </si>
  <si>
    <t xml:space="preserve">T-69</t>
  </si>
  <si>
    <t xml:space="preserve">T-70</t>
  </si>
  <si>
    <t xml:space="preserve">T-71</t>
  </si>
  <si>
    <t xml:space="preserve">T-72</t>
  </si>
  <si>
    <t xml:space="preserve">T-73</t>
  </si>
  <si>
    <t xml:space="preserve">T-74</t>
  </si>
  <si>
    <t xml:space="preserve">T-75</t>
  </si>
  <si>
    <t xml:space="preserve">T-76</t>
  </si>
  <si>
    <t xml:space="preserve">T-77</t>
  </si>
  <si>
    <t xml:space="preserve">T-78</t>
  </si>
  <si>
    <t xml:space="preserve">T-79</t>
  </si>
  <si>
    <t xml:space="preserve">T-80</t>
  </si>
  <si>
    <t xml:space="preserve">T-81</t>
  </si>
  <si>
    <t xml:space="preserve">T-82</t>
  </si>
  <si>
    <t xml:space="preserve">T-83</t>
  </si>
  <si>
    <t xml:space="preserve">T-84</t>
  </si>
  <si>
    <t xml:space="preserve">T-85</t>
  </si>
  <si>
    <t xml:space="preserve">T-86</t>
  </si>
  <si>
    <t xml:space="preserve">T-87</t>
  </si>
  <si>
    <t xml:space="preserve">T-88</t>
  </si>
  <si>
    <t xml:space="preserve">T-89</t>
  </si>
  <si>
    <t xml:space="preserve">T-90</t>
  </si>
  <si>
    <t xml:space="preserve">T-91</t>
  </si>
  <si>
    <t xml:space="preserve">T-92</t>
  </si>
  <si>
    <t xml:space="preserve">T-93</t>
  </si>
  <si>
    <t xml:space="preserve">T-94</t>
  </si>
  <si>
    <t xml:space="preserve">T-95</t>
  </si>
  <si>
    <t xml:space="preserve">T-96</t>
  </si>
  <si>
    <t xml:space="preserve">T-97</t>
  </si>
  <si>
    <t xml:space="preserve">T-98</t>
  </si>
  <si>
    <t xml:space="preserve">T-99</t>
  </si>
  <si>
    <t xml:space="preserve">T-100</t>
  </si>
  <si>
    <t xml:space="preserve">Puerta de calidad: SOLID + seguridad en la arquitectura</t>
  </si>
  <si>
    <t xml:space="preserve">Principio / control</t>
  </si>
  <si>
    <t xml:space="preserve">Componente afectado</t>
  </si>
  <si>
    <t xml:space="preserve">Riesgo o problema</t>
  </si>
  <si>
    <t xml:space="preserve">Decisión de diseño</t>
  </si>
  <si>
    <t xml:space="preserve">Evidencia</t>
  </si>
  <si>
    <t xml:space="preserve">Impacto</t>
  </si>
  <si>
    <t xml:space="preserve">Responsable</t>
  </si>
  <si>
    <t xml:space="preserve">Q-01</t>
  </si>
  <si>
    <t xml:space="preserve">SRP</t>
  </si>
  <si>
    <t xml:space="preserve">ReporteController / ReporteService</t>
  </si>
  <si>
    <t xml:space="preserve">El controlador mezcla validación de formato, reglas de duplicado y SQL</t>
  </si>
  <si>
    <t xml:space="preserve">El Controller solo recibe y arma los datos; el formato lo valida ValidadorReporte dentro del Service, las reglas viven en el Service y el SQL en el DAO</t>
  </si>
  <si>
    <t xml:space="preserve">Hoja Componentes: una responsabilidad y un «No debe hacer» por clase</t>
  </si>
  <si>
    <t xml:space="preserve">Alto</t>
  </si>
  <si>
    <t xml:space="preserve">Equipo</t>
  </si>
  <si>
    <t xml:space="preserve">Cumple</t>
  </si>
  <si>
    <t xml:space="preserve">Separa presentación, negocio y persistencia</t>
  </si>
  <si>
    <t xml:space="preserve">Q-02</t>
  </si>
  <si>
    <t xml:space="preserve">El servicio crece con anti-spam, categorías y login</t>
  </si>
  <si>
    <t xml:space="preserve">Extraer ControlAntiSpam, CategoriaService, AuthService y DashboardService</t>
  </si>
  <si>
    <t xml:space="preserve">Cuatro servicios con una sola razón de cambio además de ReporteService</t>
  </si>
  <si>
    <t xml:space="preserve">Medio</t>
  </si>
  <si>
    <t xml:space="preserve">Ya implementado en v0.8</t>
  </si>
  <si>
    <t xml:space="preserve">Q-03</t>
  </si>
  <si>
    <t xml:space="preserve">OCP</t>
  </si>
  <si>
    <t xml:space="preserve">Cambiar un límite (60 s, 3 por día, 2 MB) obliga a editar varias clases</t>
  </si>
  <si>
    <t xml:space="preserve">Concentrar los parámetros (60 s, 3 por día, 2 MB, 10 %) en application.properties, inyectados con @Value; agregar controles nuevos como reglas dentro de ControlAntiSpam sin tocar ReporteService</t>
  </si>
  <si>
    <t xml:space="preserve">application.properties (C-42) y hoja Parámetros de Requerimientos v0.3</t>
  </si>
  <si>
    <t xml:space="preserve">La paginación (20) está fija como constante en ReporteService</t>
  </si>
  <si>
    <t xml:space="preserve">Q-04</t>
  </si>
  <si>
    <t xml:space="preserve">LSP</t>
  </si>
  <si>
    <t xml:space="preserve">DAO (interfaces)</t>
  </si>
  <si>
    <t xml:space="preserve">Un DAO simulado se comporta distinto al real y rompe las pruebas</t>
  </si>
  <si>
    <t xml:space="preserve">El contrato de cada interfaz DAO es explícito: devuelve vacío y no null cuando no hay resultado</t>
  </si>
  <si>
    <t xml:space="preserve">Pruebas con DAO simulados: 40 de service, dentro de las 54 de mvn test real (27/10/2026, EV-21). Contrato contra PostgreSQL por diseñar (PV-T36 a PV-T40)</t>
  </si>
  <si>
    <t xml:space="preserve">Revisar</t>
  </si>
  <si>
    <t xml:space="preserve">Parcial (igual que LSP en la Semana 10): los DAO JDBC se ejecutaron con PostgreSQL desde la aplicación (registro, consulta, mapa), sin pruebas de integración automáticas. v0.8 rev2: puntosPeriodo() es un método default, así que los DAO simulados no necesitaron cambios</t>
  </si>
  <si>
    <t xml:space="preserve">Q-05</t>
  </si>
  <si>
    <t xml:space="preserve">ISP</t>
  </si>
  <si>
    <t xml:space="preserve">ReporteDAO, ZonaDAO, CategoriaDAO…</t>
  </si>
  <si>
    <t xml:space="preserve">Una interfaz DAO única y enorme obliga a implementar métodos que no se usan</t>
  </si>
  <si>
    <t xml:space="preserve">Una interfaz por entidad, con solo sus métodos; sin un «DAO genérico» para todo</t>
  </si>
  <si>
    <t xml:space="preserve">5 DAO en la hoja Componentes</t>
  </si>
  <si>
    <t xml:space="preserve">Bajo</t>
  </si>
  <si>
    <t xml:space="preserve">Parcial: ReporteDAO tiene 16 métodos, incluidos los del dashboard; separar ReporteConsultasDAO si el curso lo pide</t>
  </si>
  <si>
    <t xml:space="preserve">Q-06</t>
  </si>
  <si>
    <t xml:space="preserve">DIP</t>
  </si>
  <si>
    <t xml:space="preserve">El servicio queda atado a la implementación JDBC</t>
  </si>
  <si>
    <t xml:space="preserve">Depender de interfaces (DAO, FotoStorage, HashContrasena) y de Clock, inyectados por constructor (Spring)</t>
  </si>
  <si>
    <t xml:space="preserve">Pruebas con DAO y reloj simulados (PV-T01 a PV-T35, PV-T44 y PV-T45)</t>
  </si>
  <si>
    <t xml:space="preserve">Q-07</t>
  </si>
  <si>
    <t xml:space="preserve">Validación de entrada</t>
  </si>
  <si>
    <t xml:space="preserve">ReporteController / ValidadorReporte</t>
  </si>
  <si>
    <t xml:space="preserve">Datos manipulados: campos vacíos, foto de más de 2 MB o descripción larguísima</t>
  </si>
  <si>
    <t xml:space="preserve">Validar siempre en el servidor, no solo en el formulario; la foto se decodifica y debe coincidir con su extensión (v0.8 rev3)</t>
  </si>
  <si>
    <t xml:space="preserve">T-03 y T-04; PV-T46 y PV-T47</t>
  </si>
  <si>
    <t xml:space="preserve">Revisar cada DAO al escribirlo</t>
  </si>
  <si>
    <t xml:space="preserve">Q-08</t>
  </si>
  <si>
    <t xml:space="preserve">SQL parametrizado</t>
  </si>
  <si>
    <t xml:space="preserve">Todos los DAO</t>
  </si>
  <si>
    <t xml:space="preserve">Inyección SQL por el código de seguimiento, los filtros o el nombre de categoría</t>
  </si>
  <si>
    <t xml:space="preserve">Usar JdbcTemplate con parámetros «?» y nunca concatenar entradas; los filtros del listado solo añaden fragmentos fijos</t>
  </si>
  <si>
    <t xml:space="preserve">OWASP SQL Injection Prevention (ver Referencias v0.5)</t>
  </si>
  <si>
    <t xml:space="preserve">Revisado en el código y ejecutado con PostgreSQL desde la aplicación (registro, consulta, mapa); sin pruebas de integración (PV-T38, PV-T40)</t>
  </si>
  <si>
    <t xml:space="preserve">Q-09</t>
  </si>
  <si>
    <t xml:space="preserve">Contraseñas</t>
  </si>
  <si>
    <t xml:space="preserve">AuthService / UsuarioMunicipalDAO / BCryptHash</t>
  </si>
  <si>
    <t xml:space="preserve">Contraseñas expuestas o mensajes que revelan cuál dato falló</t>
  </si>
  <si>
    <t xml:space="preserve">Guardar solo contrasena_hash (BCrypt); mensaje genérico «Usuario o contraseña incorrectos»; las claves iniciales de admin y operador vienen de PIURA_ADMIN_PASSWORD y PIURA_OPERADOR_PASSWORD</t>
  </si>
  <si>
    <t xml:space="preserve">T-14 (PV-T30); seed con hash pendiente</t>
  </si>
  <si>
    <t xml:space="preserve">No se cubren ataques masivos (fuera de alcance)</t>
  </si>
  <si>
    <t xml:space="preserve">Q-10</t>
  </si>
  <si>
    <t xml:space="preserve">Control de acceso</t>
  </si>
  <si>
    <t xml:space="preserve">PanelController (sesión HttpSession)</t>
  </si>
  <si>
    <t xml:space="preserve">Acceso al panel sin sesión o con un rol que no corresponde</t>
  </si>
  <si>
    <t xml:space="preserve">Sesión del servidor con usuario y rol; cada acción del panel comprueba sesión. R02 solo para administrador. habilitarCategoria() exige rol administrador y panel.html oculta el formulario al operador (v0.8 rev1)</t>
  </si>
  <si>
    <t xml:space="preserve">T-13, T-22 y T-24; PV-T39, PV-T41 y PV-T42 verdes en mvn test real (23/10/2026)</t>
  </si>
  <si>
    <t xml:space="preserve">Implementado y probado en PanelController (mvn test real); captura del formulario oculto para el operador: EV-13 (24/10/2026)</t>
  </si>
  <si>
    <t xml:space="preserve">Q-11</t>
  </si>
  <si>
    <t xml:space="preserve">Manejo de errores</t>
  </si>
  <si>
    <t xml:space="preserve">Controller / Service</t>
  </si>
  <si>
    <t xml:space="preserve">Los mensajes de error muestran SQL, rutas o datos internos</t>
  </si>
  <si>
    <t xml:space="preserve">Capturar las excepciones, mostrar mensajes del catálogo y dejar el detalle en un registro interno</t>
  </si>
  <si>
    <t xml:space="preserve">error.html y ManejoErrores; catálogo de mensajes (Documentación v0.6)</t>
  </si>
  <si>
    <t xml:space="preserve">Q-12</t>
  </si>
  <si>
    <t xml:space="preserve">Anti-spam en el servidor</t>
  </si>
  <si>
    <t xml:space="preserve">Saltarse el botón o el formulario con un script</t>
  </si>
  <si>
    <t xml:space="preserve">Validar 60 s, 3 por día y la verificación en el servidor; dispositivo_id no prueba identidad (límite conocido)</t>
  </si>
  <si>
    <t xml:space="preserve">T-01, T-02 y T-03</t>
  </si>
  <si>
    <t xml:space="preserve">Q-13</t>
  </si>
  <si>
    <t xml:space="preserve">Concurrencia</t>
  </si>
  <si>
    <t xml:space="preserve">Dos envíos simultáneos con el mismo código</t>
  </si>
  <si>
    <t xml:space="preserve">El código sale de la secuencia seq_codigo_reporte (PostgreSQL) con LPAD a 4 dígitos y es UNIQUE; dos duplicados idénticos simultáneos quedan como casos separados (limitación aceptada)</t>
  </si>
  <si>
    <t xml:space="preserve">T-10 (PV-T37 por diseñar)</t>
  </si>
  <si>
    <t xml:space="preserve">Parcial: Pasado el 9999 el código se truncaría (suficiente para la demo); concurrencia sin probar</t>
  </si>
  <si>
    <t xml:space="preserve">Q-14</t>
  </si>
  <si>
    <t xml:space="preserve">Privacidad</t>
  </si>
  <si>
    <t xml:space="preserve">Reporte / registros internos</t>
  </si>
  <si>
    <t xml:space="preserve">Datos personales en la descripción o en los registros</t>
  </si>
  <si>
    <t xml:space="preserve">No pedir datos personales; el log no registra dispositivo_id ni contraseñas; la foto se guarda solo como ruta</t>
  </si>
  <si>
    <t xml:space="preserve">Hoja Seguridad del Diseño de BD (S02)</t>
  </si>
  <si>
    <t xml:space="preserve">Q-15</t>
  </si>
  <si>
    <t xml:space="preserve">Credenciales de la BD y secretos</t>
  </si>
  <si>
    <t xml:space="preserve">Usuario y contraseña de la BD, del admin o del operador escritos en el código</t>
  </si>
  <si>
    <t xml:space="preserve">Leerlos de variables de entorno (PIURA_DB_USER, PIURA_DB_PASSWORD, PIURA_ADMIN_PASSWORD, PIURA_OPERADOR_PASSWORD) mediante application.properties</t>
  </si>
  <si>
    <t xml:space="preserve">application.properties (C-42)</t>
  </si>
  <si>
    <t xml:space="preserve">v0.8 rev2: la carpeta local config/ (con claves) se agregó al .gitignore (commit 043d302) para que no se suba a GitHub</t>
  </si>
  <si>
    <t xml:space="preserve">Q-16</t>
  </si>
  <si>
    <t xml:space="preserve">Transacción</t>
  </si>
  <si>
    <t xml:space="preserve">ReporteService / CategoriaService</t>
  </si>
  <si>
    <t xml:space="preserve">Un caso guardado sin su historial «Recibido» (o al revés)</t>
  </si>
  <si>
    <t xml:space="preserve">@Transactional en los métodos que escriben: caso e historial se confirman o se deshacen juntos</t>
  </si>
  <si>
    <t xml:space="preserve">T-07 y T-23; @Transactional en ReporteService</t>
  </si>
  <si>
    <t xml:space="preserve">Parcial: El rollback real no se probó (requiere Spring y BD); la foto puede quedar huérfana si falla la BD</t>
  </si>
  <si>
    <t xml:space="preserve">Q-17</t>
  </si>
  <si>
    <t xml:space="preserve">Protección CSRF</t>
  </si>
  <si>
    <t xml:space="preserve">PanelController / Csrf</t>
  </si>
  <si>
    <t xml:space="preserve">Un sitio externo envía un POST al panel con la sesión del usuario</t>
  </si>
  <si>
    <t xml:space="preserve">Token _csrf por sesión en cada POST del panel (login excluido); desde v0.8 rev3 el registro y el duplicado del ciudadano también lo llevan</t>
  </si>
  <si>
    <t xml:space="preserve">PV-T39 (verde en mvn test real); PV-T48, PV-T49, PV-T53 y PV-T54 (formularios públicos)</t>
  </si>
  <si>
    <t xml:space="preserve">Sin token válido, el formulario público responde 403 y no registra nada. Límite conocido: dispositivo_id sigue sin probar identidad</t>
  </si>
  <si>
    <t xml:space="preserve">Q-18</t>
  </si>
  <si>
    <t xml:space="preserve">Subida de archivos</t>
  </si>
  <si>
    <t xml:space="preserve">FotoStorageDisco</t>
  </si>
  <si>
    <t xml:space="preserve">Nombre malicioso (../), extensión peligrosa, archivo enorme o un archivo que no es una imagen</t>
  </si>
  <si>
    <t xml:space="preserve">Nombre aleatorio (uuid), extensión permitida en minúscula, ruta dentro del directorio y tope de 2 MB; solo JPG o PNG; la imagen se decodifica (contenido y extensión deben coincidir, máx. 20 megapíxeles) y se registra su huella SHA-256 (Guava)</t>
  </si>
  <si>
    <t xml:space="preserve">PV-T33 a PV-T35; PV-T46 y PV-T47</t>
  </si>
  <si>
    <t xml:space="preserve">Q-19</t>
  </si>
  <si>
    <t xml:space="preserve">Sesión</t>
  </si>
  <si>
    <t xml:space="preserve">Fijación de sesión al iniciar sesión</t>
  </si>
  <si>
    <t xml:space="preserve">changeSessionId() al autenticar y invalidar al cerrar sesión</t>
  </si>
  <si>
    <t xml:space="preserve">Código de PanelController</t>
  </si>
  <si>
    <t xml:space="preserve">Sin prueba automática</t>
  </si>
  <si>
    <t xml:space="preserve">Q-20</t>
  </si>
  <si>
    <t xml:space="preserve">Reloj inyectable</t>
  </si>
  <si>
    <t xml:space="preserve">ControlAntiSpam / ReporteService</t>
  </si>
  <si>
    <t xml:space="preserve">Pruebas frágiles o zona horaria equivocada en los límites de 60 s y «por día»</t>
  </si>
  <si>
    <t xml:space="preserve">Clock inyectado con zona América/Lima (RelojConfig)</t>
  </si>
  <si>
    <t xml:space="preserve">PV-T19, PV-T20, PV-T12</t>
  </si>
  <si>
    <t xml:space="preserve">Q-21</t>
  </si>
  <si>
    <t xml:space="preserve">Exportación de datos</t>
  </si>
  <si>
    <t xml:space="preserve">ExportacionController / ExportacionService</t>
  </si>
  <si>
    <t xml:space="preserve">Descargar el Excel sin sesión, o que el archivo lleve datos personales o fórmulas inyectadas</t>
  </si>
  <si>
    <t xml:space="preserve">Exigir sesión municipal (401), limitar el periodo, exportar solo conteos por zona, escribir los nombres como texto y responder con Cache-Control no-store</t>
  </si>
  <si>
    <t xml:space="preserve">PV-T50 a PV-T52 y PV-T55; EV-21</t>
  </si>
  <si>
    <t xml:space="preserve">Exportan operador y administrador porque el archivo solo trae conteos; sin filtros por categoría</t>
  </si>
  <si>
    <t xml:space="preserve">Q-22</t>
  </si>
  <si>
    <t xml:space="preserve">Librerías de apoyo</t>
  </si>
  <si>
    <t xml:space="preserve">pom.xml</t>
  </si>
  <si>
    <t xml:space="preserve">Dependencias innecesarias o desactualizadas</t>
  </si>
  <si>
    <t xml:space="preserve">Declarar solo las que se usan: Guava (huella SHA-256 de las fotos), Apache POI (Excel), Commons Lang 3 (validación) y Logback (registro); versiones fijas o administradas por Spring Boot</t>
  </si>
  <si>
    <t xml:space="preserve">pom.xml; mvn test: 54 de 54 (EV-21)</t>
  </si>
  <si>
    <t xml:space="preserve">Revisar actualizaciones de seguridad antes de cada entrega</t>
  </si>
  <si>
    <t xml:space="preserve">Q-23</t>
  </si>
  <si>
    <t xml:space="preserve">Q-24</t>
  </si>
  <si>
    <t xml:space="preserve">Q-25</t>
  </si>
  <si>
    <t xml:space="preserve">Q-26</t>
  </si>
  <si>
    <t xml:space="preserve">Q-27</t>
  </si>
  <si>
    <t xml:space="preserve">Q-28</t>
  </si>
  <si>
    <t xml:space="preserve">Q-29</t>
  </si>
  <si>
    <t xml:space="preserve">Q-30</t>
  </si>
  <si>
    <t xml:space="preserve">Q-31</t>
  </si>
  <si>
    <t xml:space="preserve">Q-32</t>
  </si>
  <si>
    <t xml:space="preserve">Q-33</t>
  </si>
  <si>
    <t xml:space="preserve">Q-34</t>
  </si>
  <si>
    <t xml:space="preserve">Q-35</t>
  </si>
  <si>
    <t xml:space="preserve">Q-36</t>
  </si>
  <si>
    <t xml:space="preserve">Q-37</t>
  </si>
  <si>
    <t xml:space="preserve">Q-38</t>
  </si>
  <si>
    <t xml:space="preserve">Q-39</t>
  </si>
  <si>
    <t xml:space="preserve">Q-40</t>
  </si>
  <si>
    <t xml:space="preserve">Q-41</t>
  </si>
  <si>
    <t xml:space="preserve">Q-42</t>
  </si>
  <si>
    <t xml:space="preserve">Q-43</t>
  </si>
  <si>
    <t xml:space="preserve">Q-44</t>
  </si>
  <si>
    <t xml:space="preserve">Q-45</t>
  </si>
  <si>
    <t xml:space="preserve">Q-46</t>
  </si>
  <si>
    <t xml:space="preserve">Q-47</t>
  </si>
  <si>
    <t xml:space="preserve">Q-48</t>
  </si>
  <si>
    <t xml:space="preserve">Q-49</t>
  </si>
  <si>
    <t xml:space="preserve">Q-50</t>
  </si>
  <si>
    <t xml:space="preserve">Q-51</t>
  </si>
  <si>
    <t xml:space="preserve">Q-52</t>
  </si>
  <si>
    <t xml:space="preserve">Q-53</t>
  </si>
  <si>
    <t xml:space="preserve">Q-54</t>
  </si>
  <si>
    <t xml:space="preserve">Q-55</t>
  </si>
  <si>
    <t xml:space="preserve">Q-56</t>
  </si>
  <si>
    <t xml:space="preserve">Q-57</t>
  </si>
  <si>
    <t xml:space="preserve">Q-58</t>
  </si>
  <si>
    <t xml:space="preserve">Q-59</t>
  </si>
  <si>
    <t xml:space="preserve">Q-60</t>
  </si>
  <si>
    <t xml:space="preserve">Q-61</t>
  </si>
  <si>
    <t xml:space="preserve">Q-62</t>
  </si>
  <si>
    <t xml:space="preserve">Q-63</t>
  </si>
  <si>
    <t xml:space="preserve">Q-64</t>
  </si>
  <si>
    <t xml:space="preserve">Q-65</t>
  </si>
  <si>
    <t xml:space="preserve">Q-66</t>
  </si>
  <si>
    <t xml:space="preserve">Q-67</t>
  </si>
  <si>
    <t xml:space="preserve">Q-68</t>
  </si>
  <si>
    <t xml:space="preserve">Q-69</t>
  </si>
  <si>
    <t xml:space="preserve">Q-70</t>
  </si>
  <si>
    <t xml:space="preserve">Q-71</t>
  </si>
  <si>
    <t xml:space="preserve">Q-72</t>
  </si>
  <si>
    <t xml:space="preserve">Q-73</t>
  </si>
  <si>
    <t xml:space="preserve">Q-74</t>
  </si>
  <si>
    <t xml:space="preserve">Q-75</t>
  </si>
  <si>
    <t xml:space="preserve">Q-76</t>
  </si>
  <si>
    <t xml:space="preserve">Q-77</t>
  </si>
  <si>
    <t xml:space="preserve">Q-78</t>
  </si>
  <si>
    <t xml:space="preserve">Q-79</t>
  </si>
  <si>
    <t xml:space="preserve">Q-80</t>
  </si>
  <si>
    <t xml:space="preserve">Q-81</t>
  </si>
  <si>
    <t xml:space="preserve">Q-82</t>
  </si>
  <si>
    <t xml:space="preserve">Q-83</t>
  </si>
  <si>
    <t xml:space="preserve">Q-84</t>
  </si>
  <si>
    <t xml:space="preserve">Q-85</t>
  </si>
  <si>
    <t xml:space="preserve">Q-86</t>
  </si>
  <si>
    <t xml:space="preserve">Q-87</t>
  </si>
  <si>
    <t xml:space="preserve">Q-88</t>
  </si>
  <si>
    <t xml:space="preserve">Q-89</t>
  </si>
  <si>
    <t xml:space="preserve">Q-90</t>
  </si>
  <si>
    <t xml:space="preserve">Q-91</t>
  </si>
  <si>
    <t xml:space="preserve">Q-92</t>
  </si>
  <si>
    <t xml:space="preserve">Q-93</t>
  </si>
  <si>
    <t xml:space="preserve">Q-94</t>
  </si>
  <si>
    <t xml:space="preserve">Q-95</t>
  </si>
  <si>
    <t xml:space="preserve">Q-96</t>
  </si>
  <si>
    <t xml:space="preserve">Q-97</t>
  </si>
  <si>
    <t xml:space="preserve">Q-98</t>
  </si>
  <si>
    <t xml:space="preserve">Q-99</t>
  </si>
  <si>
    <t xml:space="preserve">Q-100</t>
  </si>
  <si>
    <t xml:space="preserve">Checklist de cierre · Arquitectura v0.7 rev4 (stack Spring Boot)</t>
  </si>
  <si>
    <t xml:space="preserve">Criterio</t>
  </si>
  <si>
    <t xml:space="preserve">Sí/No</t>
  </si>
  <si>
    <t xml:space="preserve">Semáforo</t>
  </si>
  <si>
    <t xml:space="preserve">El flujo crítico proviene de requerimientos y diseño validados en APF2.</t>
  </si>
  <si>
    <t xml:space="preserve">Sí</t>
  </si>
  <si>
    <t xml:space="preserve">APF2 corregido: BPMN, BD v0.5 y UX/UI v0.6 validados; el flujo F-01 a F-14 sale de RF-01 a RF-07, RN-01 y RNF-01.</t>
  </si>
  <si>
    <t xml:space="preserve">Cada componente tiene una responsabilidad clara.</t>
  </si>
  <si>
    <t xml:space="preserve">Hoja Componentes: 46 componentes, cada uno con responsabilidad y «No debe hacer».</t>
  </si>
  <si>
    <t xml:space="preserve">Existe separación entre presentación, coordinación, negocio y persistencia.</t>
  </si>
  <si>
    <t xml:space="preserve">View (Thymeleaf) → Controller → Service → DAO → PostgreSQL; ninguna capa salta a otra (columna «Depende de»).</t>
  </si>
  <si>
    <t xml:space="preserve">Las operaciones de persistencia están aisladas mediante DAO.</t>
  </si>
  <si>
    <t xml:space="preserve">Los 5 DAO (C-18 a C-22) son los únicos que tocan la BD y usan JdbcTemplate con parámetros (Q-08).</t>
  </si>
  <si>
    <t xml:space="preserve">El modelo/entidades se relaciona con el diseño de base de datos de Semana 6.</t>
  </si>
  <si>
    <t xml:space="preserve">5 entidades y 2 enumeraciones = 5 tablas y 2 CHECK de la BD v0.5; reporte_original_id modela la vinculación.</t>
  </si>
  <si>
    <t xml:space="preserve">Se identificó al menos una prueba TDD de una regla crítica.</t>
  </si>
  <si>
    <t xml:space="preserve">24 pruebas de diseño T-01 a T-24; 35 pruebas PV-T01 a PV-T35 pasan con DAO simulados (arnés); reglas críticas: T-01, T-02, T-05, T-06, T-08 y T-11.; PV-T39, PV-T41 y PV-T42 verdes en mvn test real (41 pruebas, 0 fallos, 23/10/2026; 42 el 24/10/2026 con PV-T43; 44 el 25/10/2026 con PV-T44 y PV-T45, EV-16; 54 el 27/10/2026 con PV-T46 a PV-T55, EV-21)</t>
  </si>
  <si>
    <t xml:space="preserve">Se revisaron los cinco principios SOLID y se justificaron los aplicables.</t>
  </si>
  <si>
    <t xml:space="preserve">Q-01 a Q-06 cubren SRP, OCP, LSP, ISP y DIP, con su justificación.</t>
  </si>
  <si>
    <t xml:space="preserve">La arquitectura incluye validación de entradas y manejo controlado de errores.</t>
  </si>
  <si>
    <t xml:space="preserve">Q-07 (validación), Q-11 (errores controlados), PV-T02, PV-T03, PV-T23 a PV-T25.</t>
  </si>
  <si>
    <t xml:space="preserve">Las consultas que reciban datos del usuario se plantean parametrizadas.</t>
  </si>
  <si>
    <t xml:space="preserve">Q-08: JdbcTemplate con parámetros en todos los DAO, sin concatenar entradas (revisado en el código y ejecutado con PostgreSQL desde la aplicación; sin pruebas de integración).</t>
  </si>
  <si>
    <t xml:space="preserve">Se definió control de acceso para operaciones que dependen del usuario.</t>
  </si>
  <si>
    <t xml:space="preserve">Q-10: sesión del servidor con usuario y rol; el panel exige sesión; R02 y habilitar categorías solo para administrador (T-13, T-22, T-24; PV-T39, PV-T41 y PV-T42 verdes en mvn test real).</t>
  </si>
  <si>
    <t xml:space="preserve">Formulario oculto para el operador: captura EV-13 (24/10/2026)</t>
  </si>
  <si>
    <t xml:space="preserve">La trazabilidad llega desde requisito/pantalla/dato hasta componente.</t>
  </si>
  <si>
    <t xml:space="preserve">Hoja Trazabilidad: 14 filas desde requerimiento, pantalla y dato hasta Controller, Service y DAO; F-12 trazada y ejecutada; F-14 trazada y ejecutada (EV-13).</t>
  </si>
  <si>
    <t xml:space="preserve">El diagrama de arquitectura y la matriz cuentan la misma historia.</t>
  </si>
  <si>
    <t xml:space="preserve">PiuraVigila_Arquitectura_v0_7_rev4.drawio y .png: los 44 nombres de las capas más los 2 de la rev3 (ExportacionController y ExportacionService, en el recuadro «Novedades rev3»), igual que esta matriz y el código v0.8 rev3 (paquetes pe.edu.utp.piuravigila); las flechas muestran las dependencias entre capas de la columna «Depende de».</t>
  </si>
  <si>
    <t xml:space="preserve">El equipo puede explicar qué NO corresponde a cada capa.</t>
  </si>
  <si>
    <t xml:space="preserve">Columna «No debe hacer» de Componentes (por ejemplo: la View no lleva reglas ni SQL; el DAO no lleva reglas de presentación).</t>
  </si>
  <si>
    <t xml:space="preserve">La arquitectura puede soportar el desarrollo del 30% previsto en Semana 10.</t>
  </si>
  <si>
    <t xml:space="preserve">Semana 10 (v0.8 rev1): mvn test real con 41 pruebas (23/10/2026), 42 (24/10/2026), 44 (25/10/2026, EV-16) y 54 (27/10/2026, EV-21), 0 fallos; aplicación ejecutada con PostgreSQL: registro (PR-2026-0001), consulta, panel de administrador y de operador, mapa P04 y hashes BCrypt de admin y operador. Evidencias en Semana 10/Capturas.</t>
  </si>
  <si>
    <t xml:space="preserve">Alcance posterior: pruebas de integración con PostgreSQL (T-09, T-10, T-19 a T-21 y T-23), fuera del avance 30 %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</si>
</sst>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991B1B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91C1C"/>
        <bgColor rgb="FF991B1B"/>
      </patternFill>
    </fill>
    <fill>
      <patternFill patternType="solid">
        <fgColor rgb="FF1F2937"/>
        <bgColor rgb="FF333300"/>
      </patternFill>
    </fill>
    <fill>
      <patternFill patternType="solid">
        <fgColor rgb="FFDCFCE7"/>
        <bgColor rgb="FFCC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166534"/>
      </font>
      <fill>
        <patternFill>
          <bgColor rgb="FFDCFCE7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91C1C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4" min="4" style="1" width="18"/>
    <col collapsed="false" customWidth="true" hidden="false" outlineLevel="0" max="5" min="5" style="1" width="26"/>
    <col collapsed="false" customWidth="true" hidden="false" outlineLevel="0" max="8" min="6" style="1" width="22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1</v>
      </c>
      <c r="B3" s="4" t="s">
        <v>2</v>
      </c>
      <c r="C3" s="3"/>
      <c r="D3" s="5" t="s">
        <v>3</v>
      </c>
      <c r="E3" s="5"/>
      <c r="F3" s="5"/>
      <c r="G3" s="5"/>
      <c r="H3" s="5"/>
      <c r="I3" s="3"/>
      <c r="J3" s="3"/>
      <c r="K3" s="3"/>
      <c r="L3" s="3"/>
    </row>
    <row r="4" customFormat="false" ht="165.75" hidden="false" customHeight="true" outlineLevel="0" collapsed="false">
      <c r="A4" s="6" t="s">
        <v>4</v>
      </c>
      <c r="B4" s="6" t="n">
        <f aca="false">COUNTA(Componentes!C4:C103)</f>
        <v>46</v>
      </c>
      <c r="C4" s="3"/>
      <c r="D4" s="7" t="s">
        <v>5</v>
      </c>
      <c r="E4" s="7"/>
      <c r="F4" s="7"/>
      <c r="G4" s="7"/>
      <c r="H4" s="7"/>
      <c r="I4" s="3"/>
      <c r="J4" s="3"/>
      <c r="K4" s="3"/>
      <c r="L4" s="3"/>
    </row>
    <row r="5" customFormat="false" ht="15" hidden="false" customHeight="true" outlineLevel="0" collapsed="false">
      <c r="A5" s="6" t="s">
        <v>6</v>
      </c>
      <c r="B5" s="6" t="n">
        <f aca="false">COUNTA(Trazabilidad!A4:A103)</f>
        <v>15</v>
      </c>
      <c r="C5" s="3"/>
      <c r="D5" s="7"/>
      <c r="E5" s="7"/>
      <c r="F5" s="7"/>
      <c r="G5" s="7"/>
      <c r="H5" s="7"/>
      <c r="I5" s="3"/>
      <c r="J5" s="3"/>
      <c r="K5" s="3"/>
      <c r="L5" s="3"/>
    </row>
    <row r="6" customFormat="false" ht="15" hidden="false" customHeight="true" outlineLevel="0" collapsed="false">
      <c r="A6" s="6" t="s">
        <v>7</v>
      </c>
      <c r="B6" s="6" t="n">
        <f aca="false">COUNTA(TDD!B4:B103)</f>
        <v>24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true" outlineLevel="0" collapsed="false">
      <c r="A7" s="6" t="s">
        <v>8</v>
      </c>
      <c r="B7" s="6" t="n">
        <f aca="false">COUNTA(SOLID_Seguridad!B4:B103)</f>
        <v>22</v>
      </c>
      <c r="C7" s="3"/>
      <c r="D7" s="4" t="s">
        <v>9</v>
      </c>
      <c r="E7" s="4" t="s">
        <v>10</v>
      </c>
      <c r="F7" s="4" t="s">
        <v>11</v>
      </c>
      <c r="G7" s="4"/>
      <c r="H7" s="4"/>
      <c r="I7" s="3"/>
      <c r="J7" s="3"/>
      <c r="K7" s="3"/>
      <c r="L7" s="3"/>
    </row>
    <row r="8" customFormat="false" ht="15" hidden="false" customHeight="true" outlineLevel="0" collapsed="false">
      <c r="A8" s="6" t="s">
        <v>12</v>
      </c>
      <c r="B8" s="6" t="n">
        <f aca="false">COUNTIF(Checklist!B4:B20,"Sí")</f>
        <v>14</v>
      </c>
      <c r="C8" s="3"/>
      <c r="D8" s="8" t="s">
        <v>13</v>
      </c>
      <c r="E8" s="6" t="s">
        <v>14</v>
      </c>
      <c r="F8" s="6" t="s">
        <v>15</v>
      </c>
      <c r="G8" s="6"/>
      <c r="H8" s="6"/>
      <c r="I8" s="3"/>
      <c r="J8" s="3"/>
      <c r="K8" s="3"/>
      <c r="L8" s="3"/>
    </row>
    <row r="9" customFormat="false" ht="23.25" hidden="false" customHeight="true" outlineLevel="0" collapsed="false">
      <c r="A9" s="6" t="s">
        <v>16</v>
      </c>
      <c r="B9" s="9" t="n">
        <f aca="false">IFERROR(B8/COUNTA(Checklist!A4:A20),0)</f>
        <v>1</v>
      </c>
      <c r="C9" s="3"/>
      <c r="D9" s="10" t="s">
        <v>17</v>
      </c>
      <c r="E9" s="6" t="s">
        <v>18</v>
      </c>
      <c r="F9" s="6" t="s">
        <v>19</v>
      </c>
      <c r="G9" s="6"/>
      <c r="H9" s="6"/>
      <c r="I9" s="3"/>
      <c r="J9" s="3"/>
      <c r="K9" s="3"/>
      <c r="L9" s="3"/>
    </row>
    <row r="10" customFormat="false" ht="23.25" hidden="false" customHeight="true" outlineLevel="0" collapsed="false">
      <c r="A10" s="3"/>
      <c r="B10" s="3"/>
      <c r="C10" s="3"/>
      <c r="D10" s="11" t="s">
        <v>20</v>
      </c>
      <c r="E10" s="6" t="s">
        <v>21</v>
      </c>
      <c r="F10" s="6" t="s">
        <v>22</v>
      </c>
      <c r="G10" s="6"/>
      <c r="H10" s="6"/>
      <c r="I10" s="3"/>
      <c r="J10" s="3"/>
      <c r="K10" s="3"/>
      <c r="L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</sheetData>
  <mergeCells count="3">
    <mergeCell ref="A1:H1"/>
    <mergeCell ref="D3:H3"/>
    <mergeCell ref="D4:H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22"/>
    <col collapsed="false" customWidth="true" hidden="false" outlineLevel="0" max="7" min="7" style="1" width="28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24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3"/>
      <c r="L3" s="3"/>
    </row>
    <row r="4" customFormat="false" ht="93" hidden="false" customHeight="tru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3"/>
      <c r="L4" s="3"/>
    </row>
    <row r="5" customFormat="false" ht="30.75" hidden="false" customHeight="true" outlineLevel="0" collapsed="false">
      <c r="A5" s="6" t="s">
        <v>44</v>
      </c>
      <c r="B5" s="6" t="s">
        <v>45</v>
      </c>
      <c r="C5" s="6" t="s">
        <v>36</v>
      </c>
      <c r="D5" s="6" t="s">
        <v>46</v>
      </c>
      <c r="E5" s="6" t="s">
        <v>38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43</v>
      </c>
      <c r="K5" s="3"/>
      <c r="L5" s="3"/>
    </row>
    <row r="6" customFormat="false" ht="71.25" hidden="false" customHeight="true" outlineLevel="0" collapsed="false">
      <c r="A6" s="6" t="s">
        <v>51</v>
      </c>
      <c r="B6" s="6" t="s">
        <v>52</v>
      </c>
      <c r="C6" s="6" t="s">
        <v>53</v>
      </c>
      <c r="D6" s="6" t="s">
        <v>46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42</v>
      </c>
      <c r="J6" s="6" t="s">
        <v>43</v>
      </c>
      <c r="K6" s="3"/>
      <c r="L6" s="3"/>
    </row>
    <row r="7" customFormat="false" ht="57.75" hidden="false" customHeight="true" outlineLevel="0" collapsed="false">
      <c r="A7" s="6" t="s">
        <v>58</v>
      </c>
      <c r="B7" s="6" t="s">
        <v>59</v>
      </c>
      <c r="C7" s="6" t="s">
        <v>53</v>
      </c>
      <c r="D7" s="6" t="s">
        <v>60</v>
      </c>
      <c r="E7" s="6" t="s">
        <v>38</v>
      </c>
      <c r="F7" s="6" t="s">
        <v>61</v>
      </c>
      <c r="G7" s="6" t="s">
        <v>62</v>
      </c>
      <c r="H7" s="6" t="s">
        <v>63</v>
      </c>
      <c r="I7" s="6" t="s">
        <v>42</v>
      </c>
      <c r="J7" s="6" t="s">
        <v>43</v>
      </c>
      <c r="K7" s="3"/>
      <c r="L7" s="3"/>
    </row>
    <row r="8" customFormat="false" ht="44.25" hidden="false" customHeight="true" outlineLevel="0" collapsed="false">
      <c r="A8" s="6" t="s">
        <v>64</v>
      </c>
      <c r="B8" s="6" t="s">
        <v>65</v>
      </c>
      <c r="C8" s="6" t="s">
        <v>66</v>
      </c>
      <c r="D8" s="6" t="s">
        <v>67</v>
      </c>
      <c r="E8" s="6" t="s">
        <v>68</v>
      </c>
      <c r="F8" s="6" t="s">
        <v>69</v>
      </c>
      <c r="G8" s="6" t="s">
        <v>70</v>
      </c>
      <c r="H8" s="6" t="s">
        <v>71</v>
      </c>
      <c r="I8" s="6" t="s">
        <v>42</v>
      </c>
      <c r="J8" s="6" t="s">
        <v>43</v>
      </c>
      <c r="K8" s="3"/>
      <c r="L8" s="3"/>
    </row>
    <row r="9" customFormat="false" ht="57.75" hidden="false" customHeight="true" outlineLevel="0" collapsed="false">
      <c r="A9" s="6" t="s">
        <v>72</v>
      </c>
      <c r="B9" s="6" t="s">
        <v>73</v>
      </c>
      <c r="C9" s="6" t="s">
        <v>53</v>
      </c>
      <c r="D9" s="6" t="s">
        <v>74</v>
      </c>
      <c r="E9" s="6" t="s">
        <v>38</v>
      </c>
      <c r="F9" s="6" t="s">
        <v>75</v>
      </c>
      <c r="G9" s="6" t="s">
        <v>76</v>
      </c>
      <c r="H9" s="6" t="s">
        <v>77</v>
      </c>
      <c r="I9" s="6" t="s">
        <v>42</v>
      </c>
      <c r="J9" s="6" t="s">
        <v>43</v>
      </c>
      <c r="K9" s="3"/>
      <c r="L9" s="3"/>
    </row>
    <row r="10" customFormat="false" ht="71.25" hidden="false" customHeight="true" outlineLevel="0" collapsed="false">
      <c r="A10" s="6" t="s">
        <v>78</v>
      </c>
      <c r="B10" s="6" t="s">
        <v>79</v>
      </c>
      <c r="C10" s="6" t="s">
        <v>53</v>
      </c>
      <c r="D10" s="6" t="s">
        <v>80</v>
      </c>
      <c r="E10" s="6" t="s">
        <v>38</v>
      </c>
      <c r="F10" s="6" t="s">
        <v>81</v>
      </c>
      <c r="G10" s="6" t="s">
        <v>82</v>
      </c>
      <c r="H10" s="6" t="s">
        <v>83</v>
      </c>
      <c r="I10" s="6" t="s">
        <v>42</v>
      </c>
      <c r="J10" s="6" t="s">
        <v>43</v>
      </c>
      <c r="K10" s="3"/>
      <c r="L10" s="3"/>
    </row>
    <row r="11" customFormat="false" ht="67.5" hidden="false" customHeight="true" outlineLevel="0" collapsed="false">
      <c r="A11" s="6" t="s">
        <v>84</v>
      </c>
      <c r="B11" s="6" t="s">
        <v>85</v>
      </c>
      <c r="C11" s="6" t="s">
        <v>36</v>
      </c>
      <c r="D11" s="6" t="s">
        <v>86</v>
      </c>
      <c r="E11" s="6" t="s">
        <v>87</v>
      </c>
      <c r="F11" s="6" t="s">
        <v>88</v>
      </c>
      <c r="G11" s="6" t="s">
        <v>89</v>
      </c>
      <c r="H11" s="6" t="s">
        <v>90</v>
      </c>
      <c r="I11" s="6" t="s">
        <v>42</v>
      </c>
      <c r="J11" s="6" t="s">
        <v>91</v>
      </c>
      <c r="K11" s="3"/>
      <c r="L11" s="3"/>
    </row>
    <row r="12" customFormat="false" ht="44.25" hidden="false" customHeight="true" outlineLevel="0" collapsed="false">
      <c r="A12" s="6" t="s">
        <v>92</v>
      </c>
      <c r="B12" s="6" t="s">
        <v>93</v>
      </c>
      <c r="C12" s="6" t="s">
        <v>94</v>
      </c>
      <c r="D12" s="6" t="s">
        <v>95</v>
      </c>
      <c r="E12" s="6" t="s">
        <v>96</v>
      </c>
      <c r="F12" s="6" t="s">
        <v>97</v>
      </c>
      <c r="G12" s="6" t="s">
        <v>98</v>
      </c>
      <c r="H12" s="6" t="s">
        <v>99</v>
      </c>
      <c r="I12" s="6" t="s">
        <v>50</v>
      </c>
      <c r="J12" s="6" t="s">
        <v>100</v>
      </c>
      <c r="K12" s="3"/>
      <c r="L12" s="3"/>
    </row>
    <row r="13" customFormat="false" ht="44.25" hidden="false" customHeight="true" outlineLevel="0" collapsed="false">
      <c r="A13" s="6" t="s">
        <v>101</v>
      </c>
      <c r="B13" s="6" t="s">
        <v>102</v>
      </c>
      <c r="C13" s="6" t="s">
        <v>94</v>
      </c>
      <c r="D13" s="6" t="s">
        <v>103</v>
      </c>
      <c r="E13" s="6" t="s">
        <v>96</v>
      </c>
      <c r="F13" s="6" t="s">
        <v>104</v>
      </c>
      <c r="G13" s="6" t="s">
        <v>105</v>
      </c>
      <c r="H13" s="6" t="s">
        <v>106</v>
      </c>
      <c r="I13" s="6" t="s">
        <v>42</v>
      </c>
      <c r="J13" s="6" t="s">
        <v>107</v>
      </c>
      <c r="K13" s="3"/>
      <c r="L13" s="3"/>
    </row>
    <row r="14" customFormat="false" ht="44.25" hidden="false" customHeight="true" outlineLevel="0" collapsed="false">
      <c r="A14" s="6" t="s">
        <v>108</v>
      </c>
      <c r="B14" s="6" t="s">
        <v>109</v>
      </c>
      <c r="C14" s="6" t="s">
        <v>94</v>
      </c>
      <c r="D14" s="6" t="s">
        <v>103</v>
      </c>
      <c r="E14" s="6" t="s">
        <v>96</v>
      </c>
      <c r="F14" s="6" t="s">
        <v>88</v>
      </c>
      <c r="G14" s="6" t="s">
        <v>110</v>
      </c>
      <c r="H14" s="6" t="s">
        <v>111</v>
      </c>
      <c r="I14" s="6" t="s">
        <v>42</v>
      </c>
      <c r="J14" s="6" t="s">
        <v>107</v>
      </c>
      <c r="K14" s="3"/>
      <c r="L14" s="3"/>
    </row>
    <row r="15" customFormat="false" ht="144" hidden="false" customHeight="true" outlineLevel="0" collapsed="false">
      <c r="A15" s="6" t="s">
        <v>112</v>
      </c>
      <c r="B15" s="6" t="s">
        <v>113</v>
      </c>
      <c r="C15" s="6" t="s">
        <v>94</v>
      </c>
      <c r="D15" s="6" t="s">
        <v>114</v>
      </c>
      <c r="E15" s="6" t="s">
        <v>115</v>
      </c>
      <c r="F15" s="6" t="s">
        <v>116</v>
      </c>
      <c r="G15" s="6" t="s">
        <v>117</v>
      </c>
      <c r="H15" s="6" t="s">
        <v>118</v>
      </c>
      <c r="I15" s="6" t="s">
        <v>50</v>
      </c>
      <c r="J15" s="6" t="s">
        <v>119</v>
      </c>
      <c r="K15" s="3"/>
      <c r="L15" s="3"/>
    </row>
    <row r="16" customFormat="false" ht="57.75" hidden="false" customHeight="true" outlineLevel="0" collapsed="false">
      <c r="A16" s="6" t="s">
        <v>120</v>
      </c>
      <c r="B16" s="6" t="s">
        <v>121</v>
      </c>
      <c r="C16" s="6" t="s">
        <v>94</v>
      </c>
      <c r="D16" s="6" t="s">
        <v>122</v>
      </c>
      <c r="E16" s="6" t="s">
        <v>123</v>
      </c>
      <c r="F16" s="6" t="s">
        <v>124</v>
      </c>
      <c r="G16" s="6" t="s">
        <v>125</v>
      </c>
      <c r="H16" s="6" t="s">
        <v>126</v>
      </c>
      <c r="I16" s="6" t="s">
        <v>50</v>
      </c>
      <c r="J16" s="6" t="s">
        <v>127</v>
      </c>
      <c r="K16" s="3"/>
      <c r="L16" s="3"/>
    </row>
    <row r="17" customFormat="false" ht="71.25" hidden="false" customHeight="true" outlineLevel="0" collapsed="false">
      <c r="A17" s="6" t="s">
        <v>128</v>
      </c>
      <c r="B17" s="6" t="s">
        <v>129</v>
      </c>
      <c r="C17" s="6" t="s">
        <v>94</v>
      </c>
      <c r="D17" s="6" t="s">
        <v>130</v>
      </c>
      <c r="E17" s="6" t="s">
        <v>96</v>
      </c>
      <c r="F17" s="6" t="s">
        <v>131</v>
      </c>
      <c r="G17" s="6" t="s">
        <v>132</v>
      </c>
      <c r="H17" s="6" t="s">
        <v>133</v>
      </c>
      <c r="I17" s="6" t="s">
        <v>50</v>
      </c>
      <c r="J17" s="6" t="s">
        <v>134</v>
      </c>
      <c r="K17" s="3"/>
      <c r="L17" s="3"/>
    </row>
    <row r="18" customFormat="false" ht="80.25" hidden="false" customHeight="true" outlineLevel="0" collapsed="false">
      <c r="A18" s="6" t="s">
        <v>135</v>
      </c>
      <c r="B18" s="6" t="s">
        <v>136</v>
      </c>
      <c r="C18" s="6" t="s">
        <v>94</v>
      </c>
      <c r="D18" s="6" t="s">
        <v>114</v>
      </c>
      <c r="E18" s="6" t="s">
        <v>137</v>
      </c>
      <c r="F18" s="6" t="s">
        <v>116</v>
      </c>
      <c r="G18" s="6" t="s">
        <v>138</v>
      </c>
      <c r="H18" s="6" t="s">
        <v>139</v>
      </c>
      <c r="I18" s="6" t="s">
        <v>140</v>
      </c>
      <c r="J18" s="6" t="s">
        <v>141</v>
      </c>
      <c r="K18" s="3"/>
      <c r="L18" s="3"/>
    </row>
    <row r="19" customFormat="false" ht="15" hidden="false" customHeight="true" outlineLevel="0" collapsed="false">
      <c r="A19" s="6" t="s">
        <v>142</v>
      </c>
      <c r="B19" s="6"/>
      <c r="C19" s="6"/>
      <c r="D19" s="6"/>
      <c r="E19" s="6"/>
      <c r="F19" s="6"/>
      <c r="G19" s="6"/>
      <c r="H19" s="6"/>
      <c r="I19" s="6"/>
      <c r="J19" s="6"/>
      <c r="K19" s="3"/>
      <c r="L19" s="3"/>
    </row>
    <row r="20" customFormat="false" ht="15" hidden="false" customHeight="true" outlineLevel="0" collapsed="false">
      <c r="A20" s="6" t="s">
        <v>143</v>
      </c>
      <c r="B20" s="6"/>
      <c r="C20" s="6"/>
      <c r="D20" s="6"/>
      <c r="E20" s="6"/>
      <c r="F20" s="6"/>
      <c r="G20" s="6"/>
      <c r="H20" s="6"/>
      <c r="I20" s="6"/>
      <c r="J20" s="6"/>
      <c r="K20" s="3"/>
      <c r="L20" s="3"/>
    </row>
    <row r="21" customFormat="false" ht="15" hidden="false" customHeight="true" outlineLevel="0" collapsed="false">
      <c r="A21" s="6" t="s">
        <v>144</v>
      </c>
      <c r="B21" s="6"/>
      <c r="C21" s="6"/>
      <c r="D21" s="6"/>
      <c r="E21" s="6"/>
      <c r="F21" s="6"/>
      <c r="G21" s="6"/>
      <c r="H21" s="6"/>
      <c r="I21" s="6"/>
      <c r="J21" s="6"/>
      <c r="K21" s="3"/>
      <c r="L21" s="3"/>
    </row>
    <row r="22" customFormat="false" ht="15" hidden="false" customHeight="true" outlineLevel="0" collapsed="false">
      <c r="A22" s="6" t="s">
        <v>145</v>
      </c>
      <c r="B22" s="6"/>
      <c r="C22" s="6"/>
      <c r="D22" s="6"/>
      <c r="E22" s="6"/>
      <c r="F22" s="6"/>
      <c r="G22" s="6"/>
      <c r="H22" s="6"/>
      <c r="I22" s="6"/>
      <c r="J22" s="6"/>
      <c r="K22" s="3"/>
      <c r="L22" s="3"/>
    </row>
    <row r="23" customFormat="false" ht="15" hidden="false" customHeight="true" outlineLevel="0" collapsed="false">
      <c r="A23" s="6" t="s">
        <v>146</v>
      </c>
      <c r="B23" s="6"/>
      <c r="C23" s="6"/>
      <c r="D23" s="6"/>
      <c r="E23" s="6"/>
      <c r="F23" s="6"/>
      <c r="G23" s="6"/>
      <c r="H23" s="6"/>
      <c r="I23" s="6"/>
      <c r="J23" s="6"/>
      <c r="K23" s="3"/>
      <c r="L23" s="3"/>
    </row>
    <row r="24" customFormat="false" ht="15" hidden="false" customHeight="true" outlineLevel="0" collapsed="false">
      <c r="A24" s="6" t="s">
        <v>147</v>
      </c>
      <c r="B24" s="6"/>
      <c r="C24" s="6"/>
      <c r="D24" s="6"/>
      <c r="E24" s="6"/>
      <c r="F24" s="6"/>
      <c r="G24" s="6"/>
      <c r="H24" s="6"/>
      <c r="I24" s="6"/>
      <c r="J24" s="6"/>
      <c r="K24" s="3"/>
      <c r="L24" s="3"/>
    </row>
    <row r="25" customFormat="false" ht="15" hidden="false" customHeight="true" outlineLevel="0" collapsed="false">
      <c r="A25" s="6" t="s">
        <v>148</v>
      </c>
      <c r="B25" s="6"/>
      <c r="C25" s="6"/>
      <c r="D25" s="6"/>
      <c r="E25" s="6"/>
      <c r="F25" s="6"/>
      <c r="G25" s="6"/>
      <c r="H25" s="6"/>
      <c r="I25" s="6"/>
      <c r="J25" s="6"/>
      <c r="K25" s="3"/>
      <c r="L25" s="3"/>
    </row>
    <row r="26" customFormat="false" ht="15" hidden="false" customHeight="true" outlineLevel="0" collapsed="false">
      <c r="A26" s="6" t="s">
        <v>149</v>
      </c>
      <c r="B26" s="6"/>
      <c r="C26" s="6"/>
      <c r="D26" s="6"/>
      <c r="E26" s="6"/>
      <c r="F26" s="6"/>
      <c r="G26" s="6"/>
      <c r="H26" s="6"/>
      <c r="I26" s="6"/>
      <c r="J26" s="6"/>
      <c r="K26" s="3"/>
      <c r="L26" s="3"/>
    </row>
    <row r="27" customFormat="false" ht="15" hidden="false" customHeight="true" outlineLevel="0" collapsed="false">
      <c r="A27" s="6" t="s">
        <v>150</v>
      </c>
      <c r="B27" s="6"/>
      <c r="C27" s="6"/>
      <c r="D27" s="6"/>
      <c r="E27" s="6"/>
      <c r="F27" s="6"/>
      <c r="G27" s="6"/>
      <c r="H27" s="6"/>
      <c r="I27" s="6"/>
      <c r="J27" s="6"/>
      <c r="K27" s="3"/>
      <c r="L27" s="3"/>
    </row>
    <row r="28" customFormat="false" ht="15" hidden="false" customHeight="true" outlineLevel="0" collapsed="false">
      <c r="A28" s="6" t="s">
        <v>151</v>
      </c>
      <c r="B28" s="6"/>
      <c r="C28" s="6"/>
      <c r="D28" s="6"/>
      <c r="E28" s="6"/>
      <c r="F28" s="6"/>
      <c r="G28" s="6"/>
      <c r="H28" s="6"/>
      <c r="I28" s="6"/>
      <c r="J28" s="6"/>
      <c r="K28" s="3"/>
      <c r="L28" s="3"/>
    </row>
    <row r="29" customFormat="false" ht="15" hidden="false" customHeight="true" outlineLevel="0" collapsed="false">
      <c r="A29" s="6" t="s">
        <v>152</v>
      </c>
      <c r="B29" s="6"/>
      <c r="C29" s="6"/>
      <c r="D29" s="6"/>
      <c r="E29" s="6"/>
      <c r="F29" s="6"/>
      <c r="G29" s="6"/>
      <c r="H29" s="6"/>
      <c r="I29" s="6"/>
      <c r="J29" s="6"/>
      <c r="K29" s="3"/>
      <c r="L29" s="3"/>
    </row>
    <row r="30" customFormat="false" ht="15" hidden="false" customHeight="true" outlineLevel="0" collapsed="false">
      <c r="A30" s="6" t="s">
        <v>153</v>
      </c>
      <c r="B30" s="6"/>
      <c r="C30" s="6"/>
      <c r="D30" s="6"/>
      <c r="E30" s="6"/>
      <c r="F30" s="6"/>
      <c r="G30" s="6"/>
      <c r="H30" s="6"/>
      <c r="I30" s="6"/>
      <c r="J30" s="6"/>
      <c r="K30" s="3"/>
      <c r="L30" s="3"/>
    </row>
    <row r="31" customFormat="false" ht="15" hidden="false" customHeight="true" outlineLevel="0" collapsed="false">
      <c r="A31" s="6" t="s">
        <v>154</v>
      </c>
      <c r="B31" s="6"/>
      <c r="C31" s="6"/>
      <c r="D31" s="6"/>
      <c r="E31" s="6"/>
      <c r="F31" s="6"/>
      <c r="G31" s="6"/>
      <c r="H31" s="6"/>
      <c r="I31" s="6"/>
      <c r="J31" s="6"/>
      <c r="K31" s="3"/>
      <c r="L31" s="3"/>
    </row>
    <row r="32" customFormat="false" ht="15" hidden="false" customHeight="true" outlineLevel="0" collapsed="false">
      <c r="A32" s="6" t="s">
        <v>155</v>
      </c>
      <c r="B32" s="6"/>
      <c r="C32" s="6"/>
      <c r="D32" s="6"/>
      <c r="E32" s="6"/>
      <c r="F32" s="6"/>
      <c r="G32" s="6"/>
      <c r="H32" s="6"/>
      <c r="I32" s="6"/>
      <c r="J32" s="6"/>
      <c r="K32" s="3"/>
      <c r="L32" s="3"/>
    </row>
    <row r="33" customFormat="false" ht="15" hidden="false" customHeight="true" outlineLevel="0" collapsed="false">
      <c r="A33" s="6" t="s">
        <v>156</v>
      </c>
      <c r="B33" s="6"/>
      <c r="C33" s="6"/>
      <c r="D33" s="6"/>
      <c r="E33" s="6"/>
      <c r="F33" s="6"/>
      <c r="G33" s="6"/>
      <c r="H33" s="6"/>
      <c r="I33" s="6"/>
      <c r="J33" s="6"/>
      <c r="K33" s="3"/>
      <c r="L33" s="3"/>
    </row>
    <row r="34" customFormat="false" ht="15" hidden="false" customHeight="true" outlineLevel="0" collapsed="false">
      <c r="A34" s="6" t="s">
        <v>157</v>
      </c>
      <c r="B34" s="6"/>
      <c r="C34" s="6"/>
      <c r="D34" s="6"/>
      <c r="E34" s="6"/>
      <c r="F34" s="6"/>
      <c r="G34" s="6"/>
      <c r="H34" s="6"/>
      <c r="I34" s="6"/>
      <c r="J34" s="6"/>
      <c r="K34" s="3"/>
      <c r="L34" s="3"/>
    </row>
    <row r="35" customFormat="false" ht="15" hidden="false" customHeight="true" outlineLevel="0" collapsed="false">
      <c r="A35" s="6" t="s">
        <v>158</v>
      </c>
      <c r="B35" s="6"/>
      <c r="C35" s="6"/>
      <c r="D35" s="6"/>
      <c r="E35" s="6"/>
      <c r="F35" s="6"/>
      <c r="G35" s="6"/>
      <c r="H35" s="6"/>
      <c r="I35" s="6"/>
      <c r="J35" s="6"/>
      <c r="K35" s="3"/>
      <c r="L35" s="3"/>
    </row>
    <row r="36" customFormat="false" ht="15" hidden="false" customHeight="true" outlineLevel="0" collapsed="false">
      <c r="A36" s="6" t="s">
        <v>159</v>
      </c>
      <c r="B36" s="6"/>
      <c r="C36" s="6"/>
      <c r="D36" s="6"/>
      <c r="E36" s="6"/>
      <c r="F36" s="6"/>
      <c r="G36" s="6"/>
      <c r="H36" s="6"/>
      <c r="I36" s="6"/>
      <c r="J36" s="6"/>
      <c r="K36" s="3"/>
      <c r="L36" s="3"/>
    </row>
    <row r="37" customFormat="false" ht="15" hidden="false" customHeight="true" outlineLevel="0" collapsed="false">
      <c r="A37" s="6" t="s">
        <v>160</v>
      </c>
      <c r="B37" s="6"/>
      <c r="C37" s="6"/>
      <c r="D37" s="6"/>
      <c r="E37" s="6"/>
      <c r="F37" s="6"/>
      <c r="G37" s="6"/>
      <c r="H37" s="6"/>
      <c r="I37" s="6"/>
      <c r="J37" s="6"/>
      <c r="K37" s="3"/>
      <c r="L37" s="3"/>
    </row>
    <row r="38" customFormat="false" ht="15" hidden="false" customHeight="true" outlineLevel="0" collapsed="false">
      <c r="A38" s="6" t="s">
        <v>161</v>
      </c>
      <c r="B38" s="6"/>
      <c r="C38" s="6"/>
      <c r="D38" s="6"/>
      <c r="E38" s="6"/>
      <c r="F38" s="6"/>
      <c r="G38" s="6"/>
      <c r="H38" s="6"/>
      <c r="I38" s="6"/>
      <c r="J38" s="6"/>
      <c r="K38" s="3"/>
      <c r="L38" s="3"/>
    </row>
    <row r="39" customFormat="false" ht="15" hidden="false" customHeight="true" outlineLevel="0" collapsed="false">
      <c r="A39" s="6" t="s">
        <v>162</v>
      </c>
      <c r="B39" s="6"/>
      <c r="C39" s="6"/>
      <c r="D39" s="6"/>
      <c r="E39" s="6"/>
      <c r="F39" s="6"/>
      <c r="G39" s="6"/>
      <c r="H39" s="6"/>
      <c r="I39" s="6"/>
      <c r="J39" s="6"/>
      <c r="K39" s="3"/>
      <c r="L39" s="3"/>
    </row>
    <row r="40" customFormat="false" ht="15" hidden="false" customHeight="true" outlineLevel="0" collapsed="false">
      <c r="A40" s="6" t="s">
        <v>163</v>
      </c>
      <c r="B40" s="6"/>
      <c r="C40" s="6"/>
      <c r="D40" s="6"/>
      <c r="E40" s="6"/>
      <c r="F40" s="6"/>
      <c r="G40" s="6"/>
      <c r="H40" s="6"/>
      <c r="I40" s="6"/>
      <c r="J40" s="6"/>
      <c r="K40" s="3"/>
      <c r="L40" s="3"/>
    </row>
    <row r="41" customFormat="false" ht="15" hidden="false" customHeight="true" outlineLevel="0" collapsed="false">
      <c r="A41" s="6" t="s">
        <v>164</v>
      </c>
      <c r="B41" s="6"/>
      <c r="C41" s="6"/>
      <c r="D41" s="6"/>
      <c r="E41" s="6"/>
      <c r="F41" s="6"/>
      <c r="G41" s="6"/>
      <c r="H41" s="6"/>
      <c r="I41" s="6"/>
      <c r="J41" s="6"/>
      <c r="K41" s="3"/>
      <c r="L41" s="3"/>
    </row>
    <row r="42" customFormat="false" ht="15" hidden="false" customHeight="true" outlineLevel="0" collapsed="false">
      <c r="A42" s="6" t="s">
        <v>165</v>
      </c>
      <c r="B42" s="6"/>
      <c r="C42" s="6"/>
      <c r="D42" s="6"/>
      <c r="E42" s="6"/>
      <c r="F42" s="6"/>
      <c r="G42" s="6"/>
      <c r="H42" s="6"/>
      <c r="I42" s="6"/>
      <c r="J42" s="6"/>
      <c r="K42" s="3"/>
      <c r="L42" s="3"/>
    </row>
    <row r="43" customFormat="false" ht="15" hidden="false" customHeight="true" outlineLevel="0" collapsed="false">
      <c r="A43" s="6" t="s">
        <v>166</v>
      </c>
      <c r="B43" s="6"/>
      <c r="C43" s="6"/>
      <c r="D43" s="6"/>
      <c r="E43" s="6"/>
      <c r="F43" s="6"/>
      <c r="G43" s="6"/>
      <c r="H43" s="6"/>
      <c r="I43" s="6"/>
      <c r="J43" s="6"/>
      <c r="K43" s="3"/>
      <c r="L43" s="3"/>
    </row>
    <row r="44" customFormat="false" ht="15" hidden="false" customHeight="true" outlineLevel="0" collapsed="false">
      <c r="A44" s="6" t="s">
        <v>167</v>
      </c>
      <c r="B44" s="6"/>
      <c r="C44" s="6"/>
      <c r="D44" s="6"/>
      <c r="E44" s="6"/>
      <c r="F44" s="6"/>
      <c r="G44" s="6"/>
      <c r="H44" s="6"/>
      <c r="I44" s="6"/>
      <c r="J44" s="6"/>
      <c r="K44" s="3"/>
      <c r="L44" s="3"/>
    </row>
    <row r="45" customFormat="false" ht="15" hidden="false" customHeight="true" outlineLevel="0" collapsed="false">
      <c r="A45" s="6" t="s">
        <v>168</v>
      </c>
      <c r="B45" s="6"/>
      <c r="C45" s="6"/>
      <c r="D45" s="6"/>
      <c r="E45" s="6"/>
      <c r="F45" s="6"/>
      <c r="G45" s="6"/>
      <c r="H45" s="6"/>
      <c r="I45" s="6"/>
      <c r="J45" s="6"/>
      <c r="K45" s="3"/>
      <c r="L45" s="3"/>
    </row>
    <row r="46" customFormat="false" ht="15" hidden="false" customHeight="true" outlineLevel="0" collapsed="false">
      <c r="A46" s="6" t="s">
        <v>169</v>
      </c>
      <c r="B46" s="6"/>
      <c r="C46" s="6"/>
      <c r="D46" s="6"/>
      <c r="E46" s="6"/>
      <c r="F46" s="6"/>
      <c r="G46" s="6"/>
      <c r="H46" s="6"/>
      <c r="I46" s="6"/>
      <c r="J46" s="6"/>
      <c r="K46" s="3"/>
      <c r="L46" s="3"/>
    </row>
    <row r="47" customFormat="false" ht="15" hidden="false" customHeight="true" outlineLevel="0" collapsed="false">
      <c r="A47" s="6" t="s">
        <v>170</v>
      </c>
      <c r="B47" s="6"/>
      <c r="C47" s="6"/>
      <c r="D47" s="6"/>
      <c r="E47" s="6"/>
      <c r="F47" s="6"/>
      <c r="G47" s="6"/>
      <c r="H47" s="6"/>
      <c r="I47" s="6"/>
      <c r="J47" s="6"/>
      <c r="K47" s="3"/>
      <c r="L47" s="3"/>
    </row>
    <row r="48" customFormat="false" ht="15" hidden="false" customHeight="true" outlineLevel="0" collapsed="false">
      <c r="A48" s="6" t="s">
        <v>171</v>
      </c>
      <c r="B48" s="6"/>
      <c r="C48" s="6"/>
      <c r="D48" s="6"/>
      <c r="E48" s="6"/>
      <c r="F48" s="6"/>
      <c r="G48" s="6"/>
      <c r="H48" s="6"/>
      <c r="I48" s="6"/>
      <c r="J48" s="6"/>
      <c r="K48" s="3"/>
      <c r="L48" s="3"/>
    </row>
    <row r="49" customFormat="false" ht="15" hidden="false" customHeight="true" outlineLevel="0" collapsed="false">
      <c r="A49" s="6" t="s">
        <v>172</v>
      </c>
      <c r="B49" s="6"/>
      <c r="C49" s="6"/>
      <c r="D49" s="6"/>
      <c r="E49" s="6"/>
      <c r="F49" s="6"/>
      <c r="G49" s="6"/>
      <c r="H49" s="6"/>
      <c r="I49" s="6"/>
      <c r="J49" s="6"/>
      <c r="K49" s="3"/>
      <c r="L49" s="3"/>
    </row>
    <row r="50" customFormat="false" ht="15" hidden="false" customHeight="true" outlineLevel="0" collapsed="false">
      <c r="A50" s="6" t="s">
        <v>173</v>
      </c>
      <c r="B50" s="6"/>
      <c r="C50" s="6"/>
      <c r="D50" s="6"/>
      <c r="E50" s="6"/>
      <c r="F50" s="6"/>
      <c r="G50" s="6"/>
      <c r="H50" s="6"/>
      <c r="I50" s="6"/>
      <c r="J50" s="6"/>
      <c r="K50" s="3"/>
      <c r="L50" s="3"/>
    </row>
    <row r="51" customFormat="false" ht="15" hidden="false" customHeight="true" outlineLevel="0" collapsed="false">
      <c r="A51" s="6" t="s">
        <v>174</v>
      </c>
      <c r="B51" s="6"/>
      <c r="C51" s="6"/>
      <c r="D51" s="6"/>
      <c r="E51" s="6"/>
      <c r="F51" s="6"/>
      <c r="G51" s="6"/>
      <c r="H51" s="6"/>
      <c r="I51" s="6"/>
      <c r="J51" s="6"/>
      <c r="K51" s="3"/>
      <c r="L51" s="3"/>
    </row>
    <row r="52" customFormat="false" ht="15" hidden="false" customHeight="true" outlineLevel="0" collapsed="false">
      <c r="A52" s="6" t="s">
        <v>175</v>
      </c>
      <c r="B52" s="6"/>
      <c r="C52" s="6"/>
      <c r="D52" s="6"/>
      <c r="E52" s="6"/>
      <c r="F52" s="6"/>
      <c r="G52" s="6"/>
      <c r="H52" s="6"/>
      <c r="I52" s="6"/>
      <c r="J52" s="6"/>
      <c r="K52" s="3"/>
      <c r="L52" s="3"/>
    </row>
    <row r="53" customFormat="false" ht="15" hidden="false" customHeight="true" outlineLevel="0" collapsed="false">
      <c r="A53" s="6" t="s">
        <v>176</v>
      </c>
      <c r="B53" s="6"/>
      <c r="C53" s="6"/>
      <c r="D53" s="6"/>
      <c r="E53" s="6"/>
      <c r="F53" s="6"/>
      <c r="G53" s="6"/>
      <c r="H53" s="6"/>
      <c r="I53" s="6"/>
      <c r="J53" s="6"/>
      <c r="K53" s="3"/>
      <c r="L53" s="3"/>
    </row>
    <row r="54" customFormat="false" ht="15" hidden="false" customHeight="true" outlineLevel="0" collapsed="false">
      <c r="A54" s="6" t="s">
        <v>177</v>
      </c>
      <c r="B54" s="6"/>
      <c r="C54" s="6"/>
      <c r="D54" s="6"/>
      <c r="E54" s="6"/>
      <c r="F54" s="6"/>
      <c r="G54" s="6"/>
      <c r="H54" s="6"/>
      <c r="I54" s="6"/>
      <c r="J54" s="6"/>
      <c r="K54" s="3"/>
      <c r="L54" s="3"/>
    </row>
    <row r="55" customFormat="false" ht="15" hidden="false" customHeight="true" outlineLevel="0" collapsed="false">
      <c r="A55" s="6" t="s">
        <v>178</v>
      </c>
      <c r="B55" s="6"/>
      <c r="C55" s="6"/>
      <c r="D55" s="6"/>
      <c r="E55" s="6"/>
      <c r="F55" s="6"/>
      <c r="G55" s="6"/>
      <c r="H55" s="6"/>
      <c r="I55" s="6"/>
      <c r="J55" s="6"/>
      <c r="K55" s="3"/>
      <c r="L55" s="3"/>
    </row>
    <row r="56" customFormat="false" ht="15" hidden="false" customHeight="true" outlineLevel="0" collapsed="false">
      <c r="A56" s="6" t="s">
        <v>179</v>
      </c>
      <c r="B56" s="6"/>
      <c r="C56" s="6"/>
      <c r="D56" s="6"/>
      <c r="E56" s="6"/>
      <c r="F56" s="6"/>
      <c r="G56" s="6"/>
      <c r="H56" s="6"/>
      <c r="I56" s="6"/>
      <c r="J56" s="6"/>
      <c r="K56" s="3"/>
      <c r="L56" s="3"/>
    </row>
    <row r="57" customFormat="false" ht="15" hidden="false" customHeight="true" outlineLevel="0" collapsed="false">
      <c r="A57" s="6" t="s">
        <v>180</v>
      </c>
      <c r="B57" s="6"/>
      <c r="C57" s="6"/>
      <c r="D57" s="6"/>
      <c r="E57" s="6"/>
      <c r="F57" s="6"/>
      <c r="G57" s="6"/>
      <c r="H57" s="6"/>
      <c r="I57" s="6"/>
      <c r="J57" s="6"/>
      <c r="K57" s="3"/>
      <c r="L57" s="3"/>
    </row>
    <row r="58" customFormat="false" ht="15" hidden="false" customHeight="true" outlineLevel="0" collapsed="false">
      <c r="A58" s="6" t="s">
        <v>181</v>
      </c>
      <c r="B58" s="6"/>
      <c r="C58" s="6"/>
      <c r="D58" s="6"/>
      <c r="E58" s="6"/>
      <c r="F58" s="6"/>
      <c r="G58" s="6"/>
      <c r="H58" s="6"/>
      <c r="I58" s="6"/>
      <c r="J58" s="6"/>
      <c r="K58" s="3"/>
      <c r="L58" s="3"/>
    </row>
    <row r="59" customFormat="false" ht="15" hidden="false" customHeight="true" outlineLevel="0" collapsed="false">
      <c r="A59" s="6" t="s">
        <v>182</v>
      </c>
      <c r="B59" s="6"/>
      <c r="C59" s="6"/>
      <c r="D59" s="6"/>
      <c r="E59" s="6"/>
      <c r="F59" s="6"/>
      <c r="G59" s="6"/>
      <c r="H59" s="6"/>
      <c r="I59" s="6"/>
      <c r="J59" s="6"/>
      <c r="K59" s="3"/>
      <c r="L59" s="3"/>
    </row>
    <row r="60" customFormat="false" ht="15" hidden="false" customHeight="true" outlineLevel="0" collapsed="false">
      <c r="A60" s="6" t="s">
        <v>183</v>
      </c>
      <c r="B60" s="6"/>
      <c r="C60" s="6"/>
      <c r="D60" s="6"/>
      <c r="E60" s="6"/>
      <c r="F60" s="6"/>
      <c r="G60" s="6"/>
      <c r="H60" s="6"/>
      <c r="I60" s="6"/>
      <c r="J60" s="6"/>
      <c r="K60" s="3"/>
      <c r="L60" s="3"/>
    </row>
    <row r="61" customFormat="false" ht="15" hidden="false" customHeight="true" outlineLevel="0" collapsed="false">
      <c r="A61" s="6" t="s">
        <v>184</v>
      </c>
      <c r="B61" s="6"/>
      <c r="C61" s="6"/>
      <c r="D61" s="6"/>
      <c r="E61" s="6"/>
      <c r="F61" s="6"/>
      <c r="G61" s="6"/>
      <c r="H61" s="6"/>
      <c r="I61" s="6"/>
      <c r="J61" s="6"/>
      <c r="K61" s="3"/>
      <c r="L61" s="3"/>
    </row>
    <row r="62" customFormat="false" ht="15" hidden="false" customHeight="true" outlineLevel="0" collapsed="false">
      <c r="A62" s="6" t="s">
        <v>185</v>
      </c>
      <c r="B62" s="6"/>
      <c r="C62" s="6"/>
      <c r="D62" s="6"/>
      <c r="E62" s="6"/>
      <c r="F62" s="6"/>
      <c r="G62" s="6"/>
      <c r="H62" s="6"/>
      <c r="I62" s="6"/>
      <c r="J62" s="6"/>
      <c r="K62" s="3"/>
      <c r="L62" s="3"/>
    </row>
    <row r="63" customFormat="false" ht="15" hidden="false" customHeight="true" outlineLevel="0" collapsed="false">
      <c r="A63" s="6" t="s">
        <v>186</v>
      </c>
      <c r="B63" s="6"/>
      <c r="C63" s="6"/>
      <c r="D63" s="6"/>
      <c r="E63" s="6"/>
      <c r="F63" s="6"/>
      <c r="G63" s="6"/>
      <c r="H63" s="6"/>
      <c r="I63" s="6"/>
      <c r="J63" s="6"/>
      <c r="K63" s="3"/>
      <c r="L63" s="3"/>
    </row>
    <row r="64" customFormat="false" ht="15" hidden="false" customHeight="true" outlineLevel="0" collapsed="false">
      <c r="A64" s="6" t="s">
        <v>187</v>
      </c>
      <c r="B64" s="6"/>
      <c r="C64" s="6"/>
      <c r="D64" s="6"/>
      <c r="E64" s="6"/>
      <c r="F64" s="6"/>
      <c r="G64" s="6"/>
      <c r="H64" s="6"/>
      <c r="I64" s="6"/>
      <c r="J64" s="6"/>
      <c r="K64" s="3"/>
      <c r="L64" s="3"/>
    </row>
    <row r="65" customFormat="false" ht="15" hidden="false" customHeight="true" outlineLevel="0" collapsed="false">
      <c r="A65" s="6" t="s">
        <v>188</v>
      </c>
      <c r="B65" s="6"/>
      <c r="C65" s="6"/>
      <c r="D65" s="6"/>
      <c r="E65" s="6"/>
      <c r="F65" s="6"/>
      <c r="G65" s="6"/>
      <c r="H65" s="6"/>
      <c r="I65" s="6"/>
      <c r="J65" s="6"/>
      <c r="K65" s="3"/>
      <c r="L65" s="3"/>
    </row>
    <row r="66" customFormat="false" ht="15" hidden="false" customHeight="true" outlineLevel="0" collapsed="false">
      <c r="A66" s="6" t="s">
        <v>189</v>
      </c>
      <c r="B66" s="6"/>
      <c r="C66" s="6"/>
      <c r="D66" s="6"/>
      <c r="E66" s="6"/>
      <c r="F66" s="6"/>
      <c r="G66" s="6"/>
      <c r="H66" s="6"/>
      <c r="I66" s="6"/>
      <c r="J66" s="6"/>
      <c r="K66" s="3"/>
      <c r="L66" s="3"/>
    </row>
    <row r="67" customFormat="false" ht="15" hidden="false" customHeight="true" outlineLevel="0" collapsed="false">
      <c r="A67" s="6" t="s">
        <v>190</v>
      </c>
      <c r="B67" s="6"/>
      <c r="C67" s="6"/>
      <c r="D67" s="6"/>
      <c r="E67" s="6"/>
      <c r="F67" s="6"/>
      <c r="G67" s="6"/>
      <c r="H67" s="6"/>
      <c r="I67" s="6"/>
      <c r="J67" s="6"/>
      <c r="K67" s="3"/>
      <c r="L67" s="3"/>
    </row>
    <row r="68" customFormat="false" ht="15" hidden="false" customHeight="true" outlineLevel="0" collapsed="false">
      <c r="A68" s="6" t="s">
        <v>191</v>
      </c>
      <c r="B68" s="6"/>
      <c r="C68" s="6"/>
      <c r="D68" s="6"/>
      <c r="E68" s="6"/>
      <c r="F68" s="6"/>
      <c r="G68" s="6"/>
      <c r="H68" s="6"/>
      <c r="I68" s="6"/>
      <c r="J68" s="6"/>
      <c r="K68" s="3"/>
      <c r="L68" s="3"/>
    </row>
    <row r="69" customFormat="false" ht="15" hidden="false" customHeight="true" outlineLevel="0" collapsed="false">
      <c r="A69" s="6" t="s">
        <v>192</v>
      </c>
      <c r="B69" s="6"/>
      <c r="C69" s="6"/>
      <c r="D69" s="6"/>
      <c r="E69" s="6"/>
      <c r="F69" s="6"/>
      <c r="G69" s="6"/>
      <c r="H69" s="6"/>
      <c r="I69" s="6"/>
      <c r="J69" s="6"/>
      <c r="K69" s="3"/>
      <c r="L69" s="3"/>
    </row>
    <row r="70" customFormat="false" ht="15" hidden="false" customHeight="true" outlineLevel="0" collapsed="false">
      <c r="A70" s="6" t="s">
        <v>193</v>
      </c>
      <c r="B70" s="6"/>
      <c r="C70" s="6"/>
      <c r="D70" s="6"/>
      <c r="E70" s="6"/>
      <c r="F70" s="6"/>
      <c r="G70" s="6"/>
      <c r="H70" s="6"/>
      <c r="I70" s="6"/>
      <c r="J70" s="6"/>
      <c r="K70" s="3"/>
      <c r="L70" s="3"/>
    </row>
    <row r="71" customFormat="false" ht="15" hidden="false" customHeight="true" outlineLevel="0" collapsed="false">
      <c r="A71" s="6" t="s">
        <v>194</v>
      </c>
      <c r="B71" s="6"/>
      <c r="C71" s="6"/>
      <c r="D71" s="6"/>
      <c r="E71" s="6"/>
      <c r="F71" s="6"/>
      <c r="G71" s="6"/>
      <c r="H71" s="6"/>
      <c r="I71" s="6"/>
      <c r="J71" s="6"/>
      <c r="K71" s="3"/>
      <c r="L71" s="3"/>
    </row>
    <row r="72" customFormat="false" ht="15" hidden="false" customHeight="true" outlineLevel="0" collapsed="false">
      <c r="A72" s="6" t="s">
        <v>195</v>
      </c>
      <c r="B72" s="6"/>
      <c r="C72" s="6"/>
      <c r="D72" s="6"/>
      <c r="E72" s="6"/>
      <c r="F72" s="6"/>
      <c r="G72" s="6"/>
      <c r="H72" s="6"/>
      <c r="I72" s="6"/>
      <c r="J72" s="6"/>
      <c r="K72" s="3"/>
      <c r="L72" s="3"/>
    </row>
    <row r="73" customFormat="false" ht="15" hidden="false" customHeight="true" outlineLevel="0" collapsed="false">
      <c r="A73" s="6" t="s">
        <v>196</v>
      </c>
      <c r="B73" s="6"/>
      <c r="C73" s="6"/>
      <c r="D73" s="6"/>
      <c r="E73" s="6"/>
      <c r="F73" s="6"/>
      <c r="G73" s="6"/>
      <c r="H73" s="6"/>
      <c r="I73" s="6"/>
      <c r="J73" s="6"/>
      <c r="K73" s="3"/>
      <c r="L73" s="3"/>
    </row>
    <row r="74" customFormat="false" ht="15" hidden="false" customHeight="true" outlineLevel="0" collapsed="false">
      <c r="A74" s="6" t="s">
        <v>197</v>
      </c>
      <c r="B74" s="6"/>
      <c r="C74" s="6"/>
      <c r="D74" s="6"/>
      <c r="E74" s="6"/>
      <c r="F74" s="6"/>
      <c r="G74" s="6"/>
      <c r="H74" s="6"/>
      <c r="I74" s="6"/>
      <c r="J74" s="6"/>
      <c r="K74" s="3"/>
      <c r="L74" s="3"/>
    </row>
    <row r="75" customFormat="false" ht="15" hidden="false" customHeight="true" outlineLevel="0" collapsed="false">
      <c r="A75" s="6" t="s">
        <v>198</v>
      </c>
      <c r="B75" s="6"/>
      <c r="C75" s="6"/>
      <c r="D75" s="6"/>
      <c r="E75" s="6"/>
      <c r="F75" s="6"/>
      <c r="G75" s="6"/>
      <c r="H75" s="6"/>
      <c r="I75" s="6"/>
      <c r="J75" s="6"/>
      <c r="K75" s="3"/>
      <c r="L75" s="3"/>
    </row>
    <row r="76" customFormat="false" ht="15" hidden="false" customHeight="true" outlineLevel="0" collapsed="false">
      <c r="A76" s="6" t="s">
        <v>199</v>
      </c>
      <c r="B76" s="6"/>
      <c r="C76" s="6"/>
      <c r="D76" s="6"/>
      <c r="E76" s="6"/>
      <c r="F76" s="6"/>
      <c r="G76" s="6"/>
      <c r="H76" s="6"/>
      <c r="I76" s="6"/>
      <c r="J76" s="6"/>
      <c r="K76" s="3"/>
      <c r="L76" s="3"/>
    </row>
    <row r="77" customFormat="false" ht="15" hidden="false" customHeight="true" outlineLevel="0" collapsed="false">
      <c r="A77" s="6" t="s">
        <v>200</v>
      </c>
      <c r="B77" s="6"/>
      <c r="C77" s="6"/>
      <c r="D77" s="6"/>
      <c r="E77" s="6"/>
      <c r="F77" s="6"/>
      <c r="G77" s="6"/>
      <c r="H77" s="6"/>
      <c r="I77" s="6"/>
      <c r="J77" s="6"/>
      <c r="K77" s="3"/>
      <c r="L77" s="3"/>
    </row>
    <row r="78" customFormat="false" ht="15" hidden="false" customHeight="true" outlineLevel="0" collapsed="false">
      <c r="A78" s="6" t="s">
        <v>201</v>
      </c>
      <c r="B78" s="6"/>
      <c r="C78" s="6"/>
      <c r="D78" s="6"/>
      <c r="E78" s="6"/>
      <c r="F78" s="6"/>
      <c r="G78" s="6"/>
      <c r="H78" s="6"/>
      <c r="I78" s="6"/>
      <c r="J78" s="6"/>
      <c r="K78" s="3"/>
      <c r="L78" s="3"/>
    </row>
    <row r="79" customFormat="false" ht="15" hidden="false" customHeight="true" outlineLevel="0" collapsed="false">
      <c r="A79" s="6" t="s">
        <v>202</v>
      </c>
      <c r="B79" s="6"/>
      <c r="C79" s="6"/>
      <c r="D79" s="6"/>
      <c r="E79" s="6"/>
      <c r="F79" s="6"/>
      <c r="G79" s="6"/>
      <c r="H79" s="6"/>
      <c r="I79" s="6"/>
      <c r="J79" s="6"/>
      <c r="K79" s="3"/>
      <c r="L79" s="3"/>
    </row>
    <row r="80" customFormat="false" ht="15" hidden="false" customHeight="true" outlineLevel="0" collapsed="false">
      <c r="A80" s="6" t="s">
        <v>203</v>
      </c>
      <c r="B80" s="6"/>
      <c r="C80" s="6"/>
      <c r="D80" s="6"/>
      <c r="E80" s="6"/>
      <c r="F80" s="6"/>
      <c r="G80" s="6"/>
      <c r="H80" s="6"/>
      <c r="I80" s="6"/>
      <c r="J80" s="6"/>
      <c r="K80" s="3"/>
      <c r="L80" s="3"/>
    </row>
    <row r="81" customFormat="false" ht="15" hidden="false" customHeight="true" outlineLevel="0" collapsed="false">
      <c r="A81" s="6" t="s">
        <v>204</v>
      </c>
      <c r="B81" s="6"/>
      <c r="C81" s="6"/>
      <c r="D81" s="6"/>
      <c r="E81" s="6"/>
      <c r="F81" s="6"/>
      <c r="G81" s="6"/>
      <c r="H81" s="6"/>
      <c r="I81" s="6"/>
      <c r="J81" s="6"/>
      <c r="K81" s="3"/>
      <c r="L81" s="3"/>
    </row>
    <row r="82" customFormat="false" ht="15" hidden="false" customHeight="true" outlineLevel="0" collapsed="false">
      <c r="A82" s="6" t="s">
        <v>205</v>
      </c>
      <c r="B82" s="6"/>
      <c r="C82" s="6"/>
      <c r="D82" s="6"/>
      <c r="E82" s="6"/>
      <c r="F82" s="6"/>
      <c r="G82" s="6"/>
      <c r="H82" s="6"/>
      <c r="I82" s="6"/>
      <c r="J82" s="6"/>
      <c r="K82" s="3"/>
      <c r="L82" s="3"/>
    </row>
    <row r="83" customFormat="false" ht="15" hidden="false" customHeight="true" outlineLevel="0" collapsed="false">
      <c r="A83" s="6" t="s">
        <v>206</v>
      </c>
      <c r="B83" s="6"/>
      <c r="C83" s="6"/>
      <c r="D83" s="6"/>
      <c r="E83" s="6"/>
      <c r="F83" s="6"/>
      <c r="G83" s="6"/>
      <c r="H83" s="6"/>
      <c r="I83" s="6"/>
      <c r="J83" s="6"/>
      <c r="K83" s="3"/>
      <c r="L83" s="3"/>
    </row>
    <row r="84" customFormat="false" ht="15" hidden="false" customHeight="true" outlineLevel="0" collapsed="false">
      <c r="A84" s="6" t="s">
        <v>207</v>
      </c>
      <c r="B84" s="6"/>
      <c r="C84" s="6"/>
      <c r="D84" s="6"/>
      <c r="E84" s="6"/>
      <c r="F84" s="6"/>
      <c r="G84" s="6"/>
      <c r="H84" s="6"/>
      <c r="I84" s="6"/>
      <c r="J84" s="6"/>
      <c r="K84" s="3"/>
      <c r="L84" s="3"/>
    </row>
    <row r="85" customFormat="false" ht="15" hidden="false" customHeight="true" outlineLevel="0" collapsed="false">
      <c r="A85" s="6" t="s">
        <v>208</v>
      </c>
      <c r="B85" s="6"/>
      <c r="C85" s="6"/>
      <c r="D85" s="6"/>
      <c r="E85" s="6"/>
      <c r="F85" s="6"/>
      <c r="G85" s="6"/>
      <c r="H85" s="6"/>
      <c r="I85" s="6"/>
      <c r="J85" s="6"/>
      <c r="K85" s="3"/>
      <c r="L85" s="3"/>
    </row>
    <row r="86" customFormat="false" ht="15" hidden="false" customHeight="true" outlineLevel="0" collapsed="false">
      <c r="A86" s="6" t="s">
        <v>209</v>
      </c>
      <c r="B86" s="6"/>
      <c r="C86" s="6"/>
      <c r="D86" s="6"/>
      <c r="E86" s="6"/>
      <c r="F86" s="6"/>
      <c r="G86" s="6"/>
      <c r="H86" s="6"/>
      <c r="I86" s="6"/>
      <c r="J86" s="6"/>
      <c r="K86" s="3"/>
      <c r="L86" s="3"/>
    </row>
    <row r="87" customFormat="false" ht="15" hidden="false" customHeight="true" outlineLevel="0" collapsed="false">
      <c r="A87" s="6" t="s">
        <v>210</v>
      </c>
      <c r="B87" s="6"/>
      <c r="C87" s="6"/>
      <c r="D87" s="6"/>
      <c r="E87" s="6"/>
      <c r="F87" s="6"/>
      <c r="G87" s="6"/>
      <c r="H87" s="6"/>
      <c r="I87" s="6"/>
      <c r="J87" s="6"/>
      <c r="K87" s="3"/>
      <c r="L87" s="3"/>
    </row>
    <row r="88" customFormat="false" ht="15" hidden="false" customHeight="true" outlineLevel="0" collapsed="false">
      <c r="A88" s="6" t="s">
        <v>211</v>
      </c>
      <c r="B88" s="6"/>
      <c r="C88" s="6"/>
      <c r="D88" s="6"/>
      <c r="E88" s="6"/>
      <c r="F88" s="6"/>
      <c r="G88" s="6"/>
      <c r="H88" s="6"/>
      <c r="I88" s="6"/>
      <c r="J88" s="6"/>
      <c r="K88" s="3"/>
      <c r="L88" s="3"/>
    </row>
    <row r="89" customFormat="false" ht="15" hidden="false" customHeight="true" outlineLevel="0" collapsed="false">
      <c r="A89" s="6" t="s">
        <v>212</v>
      </c>
      <c r="B89" s="6"/>
      <c r="C89" s="6"/>
      <c r="D89" s="6"/>
      <c r="E89" s="6"/>
      <c r="F89" s="6"/>
      <c r="G89" s="6"/>
      <c r="H89" s="6"/>
      <c r="I89" s="6"/>
      <c r="J89" s="6"/>
      <c r="K89" s="3"/>
      <c r="L89" s="3"/>
    </row>
    <row r="90" customFormat="false" ht="15" hidden="false" customHeight="true" outlineLevel="0" collapsed="false">
      <c r="A90" s="6" t="s">
        <v>213</v>
      </c>
      <c r="B90" s="6"/>
      <c r="C90" s="6"/>
      <c r="D90" s="6"/>
      <c r="E90" s="6"/>
      <c r="F90" s="6"/>
      <c r="G90" s="6"/>
      <c r="H90" s="6"/>
      <c r="I90" s="6"/>
      <c r="J90" s="6"/>
      <c r="K90" s="3"/>
      <c r="L90" s="3"/>
    </row>
    <row r="91" customFormat="false" ht="15" hidden="false" customHeight="true" outlineLevel="0" collapsed="false">
      <c r="A91" s="6" t="s">
        <v>214</v>
      </c>
      <c r="B91" s="6"/>
      <c r="C91" s="6"/>
      <c r="D91" s="6"/>
      <c r="E91" s="6"/>
      <c r="F91" s="6"/>
      <c r="G91" s="6"/>
      <c r="H91" s="6"/>
      <c r="I91" s="6"/>
      <c r="J91" s="6"/>
      <c r="K91" s="3"/>
      <c r="L91" s="3"/>
    </row>
    <row r="92" customFormat="false" ht="15" hidden="false" customHeight="true" outlineLevel="0" collapsed="false">
      <c r="A92" s="6" t="s">
        <v>215</v>
      </c>
      <c r="B92" s="6"/>
      <c r="C92" s="6"/>
      <c r="D92" s="6"/>
      <c r="E92" s="6"/>
      <c r="F92" s="6"/>
      <c r="G92" s="6"/>
      <c r="H92" s="6"/>
      <c r="I92" s="6"/>
      <c r="J92" s="6"/>
      <c r="K92" s="3"/>
      <c r="L92" s="3"/>
    </row>
    <row r="93" customFormat="false" ht="15" hidden="false" customHeight="true" outlineLevel="0" collapsed="false">
      <c r="A93" s="6" t="s">
        <v>216</v>
      </c>
      <c r="B93" s="6"/>
      <c r="C93" s="6"/>
      <c r="D93" s="6"/>
      <c r="E93" s="6"/>
      <c r="F93" s="6"/>
      <c r="G93" s="6"/>
      <c r="H93" s="6"/>
      <c r="I93" s="6"/>
      <c r="J93" s="6"/>
      <c r="K93" s="3"/>
      <c r="L93" s="3"/>
    </row>
    <row r="94" customFormat="false" ht="15" hidden="false" customHeight="true" outlineLevel="0" collapsed="false">
      <c r="A94" s="6" t="s">
        <v>217</v>
      </c>
      <c r="B94" s="6"/>
      <c r="C94" s="6"/>
      <c r="D94" s="6"/>
      <c r="E94" s="6"/>
      <c r="F94" s="6"/>
      <c r="G94" s="6"/>
      <c r="H94" s="6"/>
      <c r="I94" s="6"/>
      <c r="J94" s="6"/>
      <c r="K94" s="3"/>
      <c r="L94" s="3"/>
    </row>
    <row r="95" customFormat="false" ht="15" hidden="false" customHeight="true" outlineLevel="0" collapsed="false">
      <c r="A95" s="6" t="s">
        <v>218</v>
      </c>
      <c r="B95" s="6"/>
      <c r="C95" s="6"/>
      <c r="D95" s="6"/>
      <c r="E95" s="6"/>
      <c r="F95" s="6"/>
      <c r="G95" s="6"/>
      <c r="H95" s="6"/>
      <c r="I95" s="6"/>
      <c r="J95" s="6"/>
      <c r="K95" s="3"/>
      <c r="L95" s="3"/>
    </row>
    <row r="96" customFormat="false" ht="15" hidden="false" customHeight="true" outlineLevel="0" collapsed="false">
      <c r="A96" s="6" t="s">
        <v>219</v>
      </c>
      <c r="B96" s="6"/>
      <c r="C96" s="6"/>
      <c r="D96" s="6"/>
      <c r="E96" s="6"/>
      <c r="F96" s="6"/>
      <c r="G96" s="6"/>
      <c r="H96" s="6"/>
      <c r="I96" s="6"/>
      <c r="J96" s="6"/>
      <c r="K96" s="3"/>
      <c r="L96" s="3"/>
    </row>
    <row r="97" customFormat="false" ht="15" hidden="false" customHeight="true" outlineLevel="0" collapsed="false">
      <c r="A97" s="6" t="s">
        <v>220</v>
      </c>
      <c r="B97" s="6"/>
      <c r="C97" s="6"/>
      <c r="D97" s="6"/>
      <c r="E97" s="6"/>
      <c r="F97" s="6"/>
      <c r="G97" s="6"/>
      <c r="H97" s="6"/>
      <c r="I97" s="6"/>
      <c r="J97" s="6"/>
      <c r="K97" s="3"/>
      <c r="L97" s="3"/>
    </row>
    <row r="98" customFormat="false" ht="15" hidden="false" customHeight="true" outlineLevel="0" collapsed="false">
      <c r="A98" s="6" t="s">
        <v>221</v>
      </c>
      <c r="B98" s="6"/>
      <c r="C98" s="6"/>
      <c r="D98" s="6"/>
      <c r="E98" s="6"/>
      <c r="F98" s="6"/>
      <c r="G98" s="6"/>
      <c r="H98" s="6"/>
      <c r="I98" s="6"/>
      <c r="J98" s="6"/>
      <c r="K98" s="3"/>
      <c r="L98" s="3"/>
    </row>
    <row r="99" customFormat="false" ht="15" hidden="false" customHeight="true" outlineLevel="0" collapsed="false">
      <c r="A99" s="6" t="s">
        <v>222</v>
      </c>
      <c r="B99" s="6"/>
      <c r="C99" s="6"/>
      <c r="D99" s="6"/>
      <c r="E99" s="6"/>
      <c r="F99" s="6"/>
      <c r="G99" s="6"/>
      <c r="H99" s="6"/>
      <c r="I99" s="6"/>
      <c r="J99" s="6"/>
      <c r="K99" s="3"/>
      <c r="L99" s="3"/>
    </row>
    <row r="100" customFormat="false" ht="15" hidden="false" customHeight="true" outlineLevel="0" collapsed="false">
      <c r="A100" s="6" t="s">
        <v>223</v>
      </c>
      <c r="B100" s="6"/>
      <c r="C100" s="6"/>
      <c r="D100" s="6"/>
      <c r="E100" s="6"/>
      <c r="F100" s="6"/>
      <c r="G100" s="6"/>
      <c r="H100" s="6"/>
      <c r="I100" s="6"/>
      <c r="J100" s="6"/>
      <c r="K100" s="3"/>
      <c r="L100" s="3"/>
    </row>
    <row r="101" customFormat="false" ht="15" hidden="false" customHeight="true" outlineLevel="0" collapsed="false">
      <c r="A101" s="6" t="s">
        <v>224</v>
      </c>
      <c r="B101" s="6"/>
      <c r="C101" s="6"/>
      <c r="D101" s="6"/>
      <c r="E101" s="6"/>
      <c r="F101" s="6"/>
      <c r="G101" s="6"/>
      <c r="H101" s="6"/>
      <c r="I101" s="6"/>
      <c r="J101" s="6"/>
      <c r="K101" s="3"/>
      <c r="L101" s="3"/>
    </row>
    <row r="102" customFormat="false" ht="15" hidden="false" customHeight="true" outlineLevel="0" collapsed="false">
      <c r="A102" s="6" t="s">
        <v>225</v>
      </c>
      <c r="B102" s="6"/>
      <c r="C102" s="6"/>
      <c r="D102" s="6"/>
      <c r="E102" s="6"/>
      <c r="F102" s="6"/>
      <c r="G102" s="6"/>
      <c r="H102" s="6"/>
      <c r="I102" s="6"/>
      <c r="J102" s="6"/>
      <c r="K102" s="3"/>
      <c r="L102" s="3"/>
    </row>
    <row r="103" customFormat="false" ht="15" hidden="false" customHeight="true" outlineLevel="0" collapsed="false">
      <c r="A103" s="6" t="s">
        <v>226</v>
      </c>
      <c r="B103" s="6"/>
      <c r="C103" s="6"/>
      <c r="D103" s="6"/>
      <c r="E103" s="6"/>
      <c r="F103" s="6"/>
      <c r="G103" s="6"/>
      <c r="H103" s="6"/>
      <c r="I103" s="6"/>
      <c r="J103" s="6"/>
      <c r="K103" s="3"/>
      <c r="L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</sheetData>
  <mergeCells count="1">
    <mergeCell ref="A1:J1"/>
  </mergeCells>
  <dataValidations count="1">
    <dataValidation allowBlank="false" errorStyle="stop" operator="between" showDropDown="false" showErrorMessage="false" showInputMessage="false" sqref="I4:I103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34"/>
    <col collapsed="false" customWidth="true" hidden="false" outlineLevel="0" max="6" min="5" style="1" width="22"/>
    <col collapsed="false" customWidth="true" hidden="false" outlineLevel="0" max="7" min="7" style="1" width="24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24"/>
  </cols>
  <sheetData>
    <row r="1" customFormat="false" ht="84.7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24</v>
      </c>
      <c r="B3" s="4" t="s">
        <v>228</v>
      </c>
      <c r="C3" s="4" t="s">
        <v>229</v>
      </c>
      <c r="D3" s="4" t="s">
        <v>230</v>
      </c>
      <c r="E3" s="4" t="s">
        <v>231</v>
      </c>
      <c r="F3" s="4" t="s">
        <v>232</v>
      </c>
      <c r="G3" s="4" t="s">
        <v>233</v>
      </c>
      <c r="H3" s="4" t="s">
        <v>234</v>
      </c>
      <c r="I3" s="4" t="s">
        <v>235</v>
      </c>
      <c r="J3" s="4" t="s">
        <v>9</v>
      </c>
      <c r="K3" s="4" t="s">
        <v>33</v>
      </c>
      <c r="L3" s="3"/>
    </row>
    <row r="4" customFormat="false" ht="93" hidden="false" customHeight="true" outlineLevel="0" collapsed="false">
      <c r="A4" s="6" t="s">
        <v>236</v>
      </c>
      <c r="B4" s="6" t="s">
        <v>237</v>
      </c>
      <c r="C4" s="6" t="s">
        <v>238</v>
      </c>
      <c r="D4" s="6" t="s">
        <v>239</v>
      </c>
      <c r="E4" s="6" t="s">
        <v>240</v>
      </c>
      <c r="F4" s="6" t="s">
        <v>241</v>
      </c>
      <c r="G4" s="6" t="s">
        <v>242</v>
      </c>
      <c r="H4" s="6" t="s">
        <v>243</v>
      </c>
      <c r="I4" s="6" t="s">
        <v>244</v>
      </c>
      <c r="J4" s="6" t="s">
        <v>245</v>
      </c>
      <c r="K4" s="6" t="s">
        <v>246</v>
      </c>
      <c r="L4" s="3"/>
    </row>
    <row r="5" customFormat="false" ht="67.5" hidden="false" customHeight="true" outlineLevel="0" collapsed="false">
      <c r="A5" s="6" t="s">
        <v>247</v>
      </c>
      <c r="B5" s="6" t="s">
        <v>237</v>
      </c>
      <c r="C5" s="6" t="s">
        <v>248</v>
      </c>
      <c r="D5" s="6" t="s">
        <v>249</v>
      </c>
      <c r="E5" s="6" t="s">
        <v>250</v>
      </c>
      <c r="F5" s="6" t="s">
        <v>90</v>
      </c>
      <c r="G5" s="6" t="s">
        <v>242</v>
      </c>
      <c r="H5" s="6" t="s">
        <v>251</v>
      </c>
      <c r="I5" s="6" t="s">
        <v>244</v>
      </c>
      <c r="J5" s="6" t="s">
        <v>245</v>
      </c>
      <c r="K5" s="6" t="s">
        <v>252</v>
      </c>
      <c r="L5" s="3"/>
    </row>
    <row r="6" customFormat="false" ht="93" hidden="false" customHeight="true" outlineLevel="0" collapsed="false">
      <c r="A6" s="6" t="s">
        <v>253</v>
      </c>
      <c r="B6" s="6" t="s">
        <v>237</v>
      </c>
      <c r="C6" s="6" t="s">
        <v>254</v>
      </c>
      <c r="D6" s="6" t="s">
        <v>255</v>
      </c>
      <c r="E6" s="6" t="s">
        <v>256</v>
      </c>
      <c r="F6" s="6" t="s">
        <v>257</v>
      </c>
      <c r="G6" s="6" t="s">
        <v>258</v>
      </c>
      <c r="H6" s="6" t="s">
        <v>259</v>
      </c>
      <c r="I6" s="6" t="s">
        <v>244</v>
      </c>
      <c r="J6" s="6" t="s">
        <v>245</v>
      </c>
      <c r="K6" s="6" t="s">
        <v>260</v>
      </c>
      <c r="L6" s="3"/>
    </row>
    <row r="7" customFormat="false" ht="131.25" hidden="false" customHeight="true" outlineLevel="0" collapsed="false">
      <c r="A7" s="6" t="s">
        <v>261</v>
      </c>
      <c r="B7" s="6" t="s">
        <v>237</v>
      </c>
      <c r="C7" s="6" t="s">
        <v>262</v>
      </c>
      <c r="D7" s="6" t="s">
        <v>263</v>
      </c>
      <c r="E7" s="6" t="s">
        <v>264</v>
      </c>
      <c r="F7" s="6" t="s">
        <v>265</v>
      </c>
      <c r="G7" s="6" t="s">
        <v>258</v>
      </c>
      <c r="H7" s="6" t="s">
        <v>266</v>
      </c>
      <c r="I7" s="6" t="s">
        <v>244</v>
      </c>
      <c r="J7" s="6" t="s">
        <v>245</v>
      </c>
      <c r="K7" s="6" t="s">
        <v>267</v>
      </c>
      <c r="L7" s="3"/>
    </row>
    <row r="8" customFormat="false" ht="44.25" hidden="false" customHeight="true" outlineLevel="0" collapsed="false">
      <c r="A8" s="6" t="s">
        <v>268</v>
      </c>
      <c r="B8" s="6" t="s">
        <v>237</v>
      </c>
      <c r="C8" s="6" t="s">
        <v>269</v>
      </c>
      <c r="D8" s="6" t="s">
        <v>270</v>
      </c>
      <c r="E8" s="6" t="s">
        <v>271</v>
      </c>
      <c r="F8" s="6" t="s">
        <v>272</v>
      </c>
      <c r="G8" s="6" t="s">
        <v>258</v>
      </c>
      <c r="H8" s="6" t="s">
        <v>273</v>
      </c>
      <c r="I8" s="6" t="s">
        <v>244</v>
      </c>
      <c r="J8" s="6" t="s">
        <v>245</v>
      </c>
      <c r="K8" s="6" t="s">
        <v>274</v>
      </c>
      <c r="L8" s="3"/>
    </row>
    <row r="9" customFormat="false" ht="105.75" hidden="false" customHeight="true" outlineLevel="0" collapsed="false">
      <c r="A9" s="6" t="s">
        <v>275</v>
      </c>
      <c r="B9" s="6" t="s">
        <v>276</v>
      </c>
      <c r="C9" s="6" t="s">
        <v>277</v>
      </c>
      <c r="D9" s="6" t="s">
        <v>278</v>
      </c>
      <c r="E9" s="6" t="s">
        <v>279</v>
      </c>
      <c r="F9" s="6" t="s">
        <v>280</v>
      </c>
      <c r="G9" s="6" t="s">
        <v>281</v>
      </c>
      <c r="H9" s="6" t="s">
        <v>282</v>
      </c>
      <c r="I9" s="6" t="s">
        <v>283</v>
      </c>
      <c r="J9" s="6" t="s">
        <v>245</v>
      </c>
      <c r="K9" s="6" t="s">
        <v>284</v>
      </c>
      <c r="L9" s="3"/>
    </row>
    <row r="10" customFormat="false" ht="84.75" hidden="false" customHeight="true" outlineLevel="0" collapsed="false">
      <c r="A10" s="6" t="s">
        <v>285</v>
      </c>
      <c r="B10" s="6" t="s">
        <v>276</v>
      </c>
      <c r="C10" s="6" t="s">
        <v>286</v>
      </c>
      <c r="D10" s="6" t="s">
        <v>287</v>
      </c>
      <c r="E10" s="6" t="s">
        <v>256</v>
      </c>
      <c r="F10" s="6" t="s">
        <v>288</v>
      </c>
      <c r="G10" s="6" t="s">
        <v>289</v>
      </c>
      <c r="H10" s="6" t="s">
        <v>290</v>
      </c>
      <c r="I10" s="6" t="s">
        <v>283</v>
      </c>
      <c r="J10" s="6" t="s">
        <v>245</v>
      </c>
      <c r="K10" s="6" t="s">
        <v>291</v>
      </c>
      <c r="L10" s="3"/>
    </row>
    <row r="11" customFormat="false" ht="57.75" hidden="false" customHeight="true" outlineLevel="0" collapsed="false">
      <c r="A11" s="6" t="s">
        <v>292</v>
      </c>
      <c r="B11" s="6" t="s">
        <v>276</v>
      </c>
      <c r="C11" s="6" t="s">
        <v>293</v>
      </c>
      <c r="D11" s="6" t="s">
        <v>294</v>
      </c>
      <c r="E11" s="6" t="s">
        <v>295</v>
      </c>
      <c r="F11" s="6" t="s">
        <v>296</v>
      </c>
      <c r="G11" s="6" t="s">
        <v>297</v>
      </c>
      <c r="H11" s="6" t="s">
        <v>298</v>
      </c>
      <c r="I11" s="6" t="s">
        <v>283</v>
      </c>
      <c r="J11" s="6" t="s">
        <v>245</v>
      </c>
      <c r="K11" s="6" t="s">
        <v>299</v>
      </c>
      <c r="L11" s="3"/>
    </row>
    <row r="12" customFormat="false" ht="67.5" hidden="false" customHeight="true" outlineLevel="0" collapsed="false">
      <c r="A12" s="6" t="s">
        <v>300</v>
      </c>
      <c r="B12" s="6" t="s">
        <v>276</v>
      </c>
      <c r="C12" s="6" t="s">
        <v>301</v>
      </c>
      <c r="D12" s="6" t="s">
        <v>302</v>
      </c>
      <c r="E12" s="6" t="s">
        <v>303</v>
      </c>
      <c r="F12" s="6" t="s">
        <v>304</v>
      </c>
      <c r="G12" s="6" t="s">
        <v>305</v>
      </c>
      <c r="H12" s="6" t="s">
        <v>306</v>
      </c>
      <c r="I12" s="6" t="s">
        <v>283</v>
      </c>
      <c r="J12" s="6" t="s">
        <v>245</v>
      </c>
      <c r="K12" s="6" t="s">
        <v>307</v>
      </c>
      <c r="L12" s="3"/>
    </row>
    <row r="13" customFormat="false" ht="67.5" hidden="false" customHeight="true" outlineLevel="0" collapsed="false">
      <c r="A13" s="6" t="s">
        <v>308</v>
      </c>
      <c r="B13" s="6" t="s">
        <v>309</v>
      </c>
      <c r="C13" s="6" t="s">
        <v>310</v>
      </c>
      <c r="D13" s="6" t="s">
        <v>311</v>
      </c>
      <c r="E13" s="6" t="s">
        <v>312</v>
      </c>
      <c r="F13" s="6" t="s">
        <v>313</v>
      </c>
      <c r="G13" s="6" t="s">
        <v>314</v>
      </c>
      <c r="H13" s="6" t="s">
        <v>315</v>
      </c>
      <c r="I13" s="6" t="s">
        <v>316</v>
      </c>
      <c r="J13" s="6" t="s">
        <v>245</v>
      </c>
      <c r="K13" s="6" t="s">
        <v>317</v>
      </c>
      <c r="L13" s="3"/>
    </row>
    <row r="14" customFormat="false" ht="44.25" hidden="false" customHeight="true" outlineLevel="0" collapsed="false">
      <c r="A14" s="6" t="s">
        <v>318</v>
      </c>
      <c r="B14" s="6" t="s">
        <v>309</v>
      </c>
      <c r="C14" s="6" t="s">
        <v>319</v>
      </c>
      <c r="D14" s="6" t="s">
        <v>320</v>
      </c>
      <c r="E14" s="6" t="s">
        <v>321</v>
      </c>
      <c r="F14" s="6" t="s">
        <v>322</v>
      </c>
      <c r="G14" s="6" t="s">
        <v>323</v>
      </c>
      <c r="H14" s="6" t="s">
        <v>324</v>
      </c>
      <c r="I14" s="6" t="s">
        <v>316</v>
      </c>
      <c r="J14" s="6" t="s">
        <v>245</v>
      </c>
      <c r="K14" s="6" t="s">
        <v>325</v>
      </c>
      <c r="L14" s="3"/>
    </row>
    <row r="15" customFormat="false" ht="57.75" hidden="false" customHeight="true" outlineLevel="0" collapsed="false">
      <c r="A15" s="6" t="s">
        <v>326</v>
      </c>
      <c r="B15" s="6" t="s">
        <v>309</v>
      </c>
      <c r="C15" s="6" t="s">
        <v>327</v>
      </c>
      <c r="D15" s="6" t="s">
        <v>328</v>
      </c>
      <c r="E15" s="6" t="s">
        <v>329</v>
      </c>
      <c r="F15" s="6" t="s">
        <v>330</v>
      </c>
      <c r="G15" s="6" t="s">
        <v>331</v>
      </c>
      <c r="H15" s="6" t="s">
        <v>332</v>
      </c>
      <c r="I15" s="6" t="s">
        <v>316</v>
      </c>
      <c r="J15" s="6" t="s">
        <v>245</v>
      </c>
      <c r="K15" s="6" t="s">
        <v>333</v>
      </c>
      <c r="L15" s="3"/>
    </row>
    <row r="16" customFormat="false" ht="44.25" hidden="false" customHeight="true" outlineLevel="0" collapsed="false">
      <c r="A16" s="6" t="s">
        <v>334</v>
      </c>
      <c r="B16" s="6" t="s">
        <v>309</v>
      </c>
      <c r="C16" s="6" t="s">
        <v>335</v>
      </c>
      <c r="D16" s="6" t="s">
        <v>336</v>
      </c>
      <c r="E16" s="6" t="s">
        <v>337</v>
      </c>
      <c r="F16" s="6" t="s">
        <v>338</v>
      </c>
      <c r="G16" s="6" t="s">
        <v>339</v>
      </c>
      <c r="H16" s="6" t="s">
        <v>340</v>
      </c>
      <c r="I16" s="6" t="s">
        <v>316</v>
      </c>
      <c r="J16" s="6" t="s">
        <v>245</v>
      </c>
      <c r="K16" s="6" t="s">
        <v>341</v>
      </c>
      <c r="L16" s="3"/>
    </row>
    <row r="17" customFormat="false" ht="80.25" hidden="false" customHeight="true" outlineLevel="0" collapsed="false">
      <c r="A17" s="6" t="s">
        <v>342</v>
      </c>
      <c r="B17" s="6" t="s">
        <v>309</v>
      </c>
      <c r="C17" s="6" t="s">
        <v>343</v>
      </c>
      <c r="D17" s="6" t="s">
        <v>344</v>
      </c>
      <c r="E17" s="6" t="s">
        <v>345</v>
      </c>
      <c r="F17" s="6" t="s">
        <v>346</v>
      </c>
      <c r="G17" s="6" t="s">
        <v>347</v>
      </c>
      <c r="H17" s="6" t="s">
        <v>348</v>
      </c>
      <c r="I17" s="6" t="s">
        <v>316</v>
      </c>
      <c r="J17" s="6" t="s">
        <v>245</v>
      </c>
      <c r="K17" s="6" t="s">
        <v>349</v>
      </c>
      <c r="L17" s="3"/>
    </row>
    <row r="18" customFormat="false" ht="80.25" hidden="false" customHeight="true" outlineLevel="0" collapsed="false">
      <c r="A18" s="6" t="s">
        <v>350</v>
      </c>
      <c r="B18" s="6" t="s">
        <v>351</v>
      </c>
      <c r="C18" s="6" t="s">
        <v>352</v>
      </c>
      <c r="D18" s="6" t="s">
        <v>353</v>
      </c>
      <c r="E18" s="6" t="s">
        <v>354</v>
      </c>
      <c r="F18" s="6" t="s">
        <v>322</v>
      </c>
      <c r="G18" s="6" t="s">
        <v>355</v>
      </c>
      <c r="H18" s="6" t="s">
        <v>356</v>
      </c>
      <c r="I18" s="6" t="s">
        <v>316</v>
      </c>
      <c r="J18" s="6" t="s">
        <v>245</v>
      </c>
      <c r="K18" s="6" t="s">
        <v>357</v>
      </c>
      <c r="L18" s="3"/>
    </row>
    <row r="19" customFormat="false" ht="44.25" hidden="false" customHeight="true" outlineLevel="0" collapsed="false">
      <c r="A19" s="6" t="s">
        <v>358</v>
      </c>
      <c r="B19" s="6" t="s">
        <v>309</v>
      </c>
      <c r="C19" s="6" t="s">
        <v>359</v>
      </c>
      <c r="D19" s="6" t="s">
        <v>360</v>
      </c>
      <c r="E19" s="6" t="s">
        <v>361</v>
      </c>
      <c r="F19" s="6" t="s">
        <v>362</v>
      </c>
      <c r="G19" s="6" t="s">
        <v>297</v>
      </c>
      <c r="H19" s="6" t="s">
        <v>363</v>
      </c>
      <c r="I19" s="6" t="s">
        <v>316</v>
      </c>
      <c r="J19" s="6" t="s">
        <v>245</v>
      </c>
      <c r="K19" s="6" t="s">
        <v>364</v>
      </c>
      <c r="L19" s="3"/>
    </row>
    <row r="20" customFormat="false" ht="30.75" hidden="false" customHeight="true" outlineLevel="0" collapsed="false">
      <c r="A20" s="6" t="s">
        <v>365</v>
      </c>
      <c r="B20" s="6" t="s">
        <v>309</v>
      </c>
      <c r="C20" s="6" t="s">
        <v>366</v>
      </c>
      <c r="D20" s="6" t="s">
        <v>367</v>
      </c>
      <c r="E20" s="6" t="s">
        <v>368</v>
      </c>
      <c r="F20" s="6" t="s">
        <v>369</v>
      </c>
      <c r="G20" s="6" t="s">
        <v>297</v>
      </c>
      <c r="H20" s="6" t="s">
        <v>370</v>
      </c>
      <c r="I20" s="6" t="s">
        <v>316</v>
      </c>
      <c r="J20" s="6" t="s">
        <v>245</v>
      </c>
      <c r="K20" s="6" t="s">
        <v>371</v>
      </c>
      <c r="L20" s="3"/>
    </row>
    <row r="21" customFormat="false" ht="131.25" hidden="false" customHeight="true" outlineLevel="0" collapsed="false">
      <c r="A21" s="6" t="s">
        <v>372</v>
      </c>
      <c r="B21" s="6" t="s">
        <v>373</v>
      </c>
      <c r="C21" s="6" t="s">
        <v>374</v>
      </c>
      <c r="D21" s="6" t="s">
        <v>375</v>
      </c>
      <c r="E21" s="6" t="s">
        <v>376</v>
      </c>
      <c r="F21" s="6" t="s">
        <v>377</v>
      </c>
      <c r="G21" s="6" t="s">
        <v>378</v>
      </c>
      <c r="H21" s="6" t="s">
        <v>379</v>
      </c>
      <c r="I21" s="6" t="s">
        <v>380</v>
      </c>
      <c r="J21" s="6" t="s">
        <v>245</v>
      </c>
      <c r="K21" s="6" t="s">
        <v>381</v>
      </c>
      <c r="L21" s="3"/>
    </row>
    <row r="22" customFormat="false" ht="44.25" hidden="false" customHeight="true" outlineLevel="0" collapsed="false">
      <c r="A22" s="6" t="s">
        <v>382</v>
      </c>
      <c r="B22" s="6" t="s">
        <v>373</v>
      </c>
      <c r="C22" s="6" t="s">
        <v>383</v>
      </c>
      <c r="D22" s="6" t="s">
        <v>384</v>
      </c>
      <c r="E22" s="6" t="s">
        <v>385</v>
      </c>
      <c r="F22" s="6" t="s">
        <v>386</v>
      </c>
      <c r="G22" s="6" t="s">
        <v>378</v>
      </c>
      <c r="H22" s="6" t="s">
        <v>387</v>
      </c>
      <c r="I22" s="6" t="s">
        <v>380</v>
      </c>
      <c r="J22" s="6" t="s">
        <v>245</v>
      </c>
      <c r="K22" s="6" t="s">
        <v>388</v>
      </c>
      <c r="L22" s="3"/>
    </row>
    <row r="23" customFormat="false" ht="30.75" hidden="false" customHeight="true" outlineLevel="0" collapsed="false">
      <c r="A23" s="6" t="s">
        <v>389</v>
      </c>
      <c r="B23" s="6" t="s">
        <v>373</v>
      </c>
      <c r="C23" s="6" t="s">
        <v>390</v>
      </c>
      <c r="D23" s="6" t="s">
        <v>391</v>
      </c>
      <c r="E23" s="6" t="s">
        <v>392</v>
      </c>
      <c r="F23" s="6" t="s">
        <v>393</v>
      </c>
      <c r="G23" s="6" t="s">
        <v>378</v>
      </c>
      <c r="H23" s="6" t="s">
        <v>394</v>
      </c>
      <c r="I23" s="6" t="s">
        <v>380</v>
      </c>
      <c r="J23" s="6" t="s">
        <v>245</v>
      </c>
      <c r="K23" s="6" t="s">
        <v>395</v>
      </c>
      <c r="L23" s="3"/>
    </row>
    <row r="24" customFormat="false" ht="57.75" hidden="false" customHeight="true" outlineLevel="0" collapsed="false">
      <c r="A24" s="6" t="s">
        <v>396</v>
      </c>
      <c r="B24" s="6" t="s">
        <v>373</v>
      </c>
      <c r="C24" s="6" t="s">
        <v>397</v>
      </c>
      <c r="D24" s="6" t="s">
        <v>398</v>
      </c>
      <c r="E24" s="6" t="s">
        <v>399</v>
      </c>
      <c r="F24" s="6" t="s">
        <v>97</v>
      </c>
      <c r="G24" s="6" t="s">
        <v>378</v>
      </c>
      <c r="H24" s="6" t="s">
        <v>400</v>
      </c>
      <c r="I24" s="6" t="s">
        <v>380</v>
      </c>
      <c r="J24" s="6" t="s">
        <v>245</v>
      </c>
      <c r="K24" s="6" t="s">
        <v>401</v>
      </c>
      <c r="L24" s="3"/>
    </row>
    <row r="25" customFormat="false" ht="54.75" hidden="false" customHeight="true" outlineLevel="0" collapsed="false">
      <c r="A25" s="6" t="s">
        <v>402</v>
      </c>
      <c r="B25" s="6" t="s">
        <v>373</v>
      </c>
      <c r="C25" s="6" t="s">
        <v>403</v>
      </c>
      <c r="D25" s="6" t="s">
        <v>404</v>
      </c>
      <c r="E25" s="6" t="s">
        <v>405</v>
      </c>
      <c r="F25" s="6" t="s">
        <v>406</v>
      </c>
      <c r="G25" s="6" t="s">
        <v>378</v>
      </c>
      <c r="H25" s="6" t="s">
        <v>407</v>
      </c>
      <c r="I25" s="6" t="s">
        <v>380</v>
      </c>
      <c r="J25" s="6" t="s">
        <v>245</v>
      </c>
      <c r="K25" s="6" t="s">
        <v>408</v>
      </c>
      <c r="L25" s="3"/>
    </row>
    <row r="26" customFormat="false" ht="30.75" hidden="false" customHeight="true" outlineLevel="0" collapsed="false">
      <c r="A26" s="6" t="s">
        <v>409</v>
      </c>
      <c r="B26" s="6" t="s">
        <v>410</v>
      </c>
      <c r="C26" s="6" t="s">
        <v>411</v>
      </c>
      <c r="D26" s="6" t="s">
        <v>412</v>
      </c>
      <c r="E26" s="6" t="s">
        <v>413</v>
      </c>
      <c r="F26" s="6" t="s">
        <v>414</v>
      </c>
      <c r="G26" s="6" t="s">
        <v>415</v>
      </c>
      <c r="H26" s="6" t="s">
        <v>416</v>
      </c>
      <c r="I26" s="6" t="s">
        <v>417</v>
      </c>
      <c r="J26" s="6" t="s">
        <v>245</v>
      </c>
      <c r="K26" s="6" t="s">
        <v>418</v>
      </c>
      <c r="L26" s="3"/>
    </row>
    <row r="27" customFormat="false" ht="54.75" hidden="false" customHeight="true" outlineLevel="0" collapsed="false">
      <c r="A27" s="6" t="s">
        <v>419</v>
      </c>
      <c r="B27" s="6" t="s">
        <v>410</v>
      </c>
      <c r="C27" s="6" t="s">
        <v>420</v>
      </c>
      <c r="D27" s="6" t="s">
        <v>421</v>
      </c>
      <c r="E27" s="6" t="s">
        <v>413</v>
      </c>
      <c r="F27" s="6" t="s">
        <v>414</v>
      </c>
      <c r="G27" s="6" t="s">
        <v>297</v>
      </c>
      <c r="H27" s="6" t="s">
        <v>416</v>
      </c>
      <c r="I27" s="6" t="s">
        <v>417</v>
      </c>
      <c r="J27" s="6" t="s">
        <v>245</v>
      </c>
      <c r="K27" s="6" t="s">
        <v>422</v>
      </c>
      <c r="L27" s="3"/>
    </row>
    <row r="28" customFormat="false" ht="18.75" hidden="false" customHeight="true" outlineLevel="0" collapsed="false">
      <c r="A28" s="6" t="s">
        <v>423</v>
      </c>
      <c r="B28" s="6" t="s">
        <v>410</v>
      </c>
      <c r="C28" s="6" t="s">
        <v>424</v>
      </c>
      <c r="D28" s="6" t="s">
        <v>425</v>
      </c>
      <c r="E28" s="6" t="s">
        <v>413</v>
      </c>
      <c r="F28" s="6" t="s">
        <v>414</v>
      </c>
      <c r="G28" s="6" t="s">
        <v>297</v>
      </c>
      <c r="H28" s="6" t="s">
        <v>416</v>
      </c>
      <c r="I28" s="6" t="s">
        <v>417</v>
      </c>
      <c r="J28" s="6" t="s">
        <v>245</v>
      </c>
      <c r="K28" s="6" t="s">
        <v>395</v>
      </c>
      <c r="L28" s="3"/>
    </row>
    <row r="29" customFormat="false" ht="44.25" hidden="false" customHeight="true" outlineLevel="0" collapsed="false">
      <c r="A29" s="6" t="s">
        <v>426</v>
      </c>
      <c r="B29" s="6" t="s">
        <v>410</v>
      </c>
      <c r="C29" s="6" t="s">
        <v>427</v>
      </c>
      <c r="D29" s="6" t="s">
        <v>428</v>
      </c>
      <c r="E29" s="6" t="s">
        <v>413</v>
      </c>
      <c r="F29" s="6" t="s">
        <v>414</v>
      </c>
      <c r="G29" s="6" t="s">
        <v>429</v>
      </c>
      <c r="H29" s="6" t="s">
        <v>430</v>
      </c>
      <c r="I29" s="6" t="s">
        <v>417</v>
      </c>
      <c r="J29" s="6" t="s">
        <v>245</v>
      </c>
      <c r="K29" s="6" t="s">
        <v>431</v>
      </c>
      <c r="L29" s="3"/>
    </row>
    <row r="30" customFormat="false" ht="44.25" hidden="false" customHeight="true" outlineLevel="0" collapsed="false">
      <c r="A30" s="6" t="s">
        <v>432</v>
      </c>
      <c r="B30" s="6" t="s">
        <v>410</v>
      </c>
      <c r="C30" s="6" t="s">
        <v>433</v>
      </c>
      <c r="D30" s="6" t="s">
        <v>434</v>
      </c>
      <c r="E30" s="6" t="s">
        <v>413</v>
      </c>
      <c r="F30" s="6" t="s">
        <v>414</v>
      </c>
      <c r="G30" s="6" t="s">
        <v>415</v>
      </c>
      <c r="H30" s="6" t="s">
        <v>416</v>
      </c>
      <c r="I30" s="6" t="s">
        <v>417</v>
      </c>
      <c r="J30" s="6" t="s">
        <v>245</v>
      </c>
      <c r="K30" s="6" t="s">
        <v>435</v>
      </c>
      <c r="L30" s="3"/>
    </row>
    <row r="31" customFormat="false" ht="44.25" hidden="false" customHeight="true" outlineLevel="0" collapsed="false">
      <c r="A31" s="6" t="s">
        <v>436</v>
      </c>
      <c r="B31" s="6" t="s">
        <v>410</v>
      </c>
      <c r="C31" s="6" t="s">
        <v>437</v>
      </c>
      <c r="D31" s="6" t="s">
        <v>438</v>
      </c>
      <c r="E31" s="6" t="s">
        <v>439</v>
      </c>
      <c r="F31" s="6" t="s">
        <v>440</v>
      </c>
      <c r="G31" s="6" t="s">
        <v>297</v>
      </c>
      <c r="H31" s="6" t="s">
        <v>441</v>
      </c>
      <c r="I31" s="6" t="s">
        <v>417</v>
      </c>
      <c r="J31" s="6" t="s">
        <v>245</v>
      </c>
      <c r="K31" s="6" t="s">
        <v>442</v>
      </c>
      <c r="L31" s="3"/>
    </row>
    <row r="32" customFormat="false" ht="30.75" hidden="false" customHeight="true" outlineLevel="0" collapsed="false">
      <c r="A32" s="6" t="s">
        <v>443</v>
      </c>
      <c r="B32" s="6" t="s">
        <v>410</v>
      </c>
      <c r="C32" s="6" t="s">
        <v>444</v>
      </c>
      <c r="D32" s="6" t="s">
        <v>445</v>
      </c>
      <c r="E32" s="6" t="s">
        <v>297</v>
      </c>
      <c r="F32" s="6" t="s">
        <v>446</v>
      </c>
      <c r="G32" s="6" t="s">
        <v>297</v>
      </c>
      <c r="H32" s="6" t="s">
        <v>441</v>
      </c>
      <c r="I32" s="6" t="s">
        <v>417</v>
      </c>
      <c r="J32" s="6" t="s">
        <v>245</v>
      </c>
      <c r="K32" s="6" t="s">
        <v>447</v>
      </c>
      <c r="L32" s="3"/>
    </row>
    <row r="33" customFormat="false" ht="30.75" hidden="false" customHeight="true" outlineLevel="0" collapsed="false">
      <c r="A33" s="6" t="s">
        <v>448</v>
      </c>
      <c r="B33" s="6" t="s">
        <v>449</v>
      </c>
      <c r="C33" s="6" t="s">
        <v>450</v>
      </c>
      <c r="D33" s="6" t="s">
        <v>451</v>
      </c>
      <c r="E33" s="6" t="s">
        <v>452</v>
      </c>
      <c r="F33" s="6" t="s">
        <v>453</v>
      </c>
      <c r="G33" s="6" t="s">
        <v>297</v>
      </c>
      <c r="H33" s="6" t="s">
        <v>454</v>
      </c>
      <c r="I33" s="6" t="s">
        <v>455</v>
      </c>
      <c r="J33" s="6" t="s">
        <v>245</v>
      </c>
      <c r="K33" s="6" t="s">
        <v>456</v>
      </c>
      <c r="L33" s="3"/>
    </row>
    <row r="34" customFormat="false" ht="44.25" hidden="false" customHeight="true" outlineLevel="0" collapsed="false">
      <c r="A34" s="6" t="s">
        <v>457</v>
      </c>
      <c r="B34" s="6" t="s">
        <v>449</v>
      </c>
      <c r="C34" s="6" t="s">
        <v>458</v>
      </c>
      <c r="D34" s="6" t="s">
        <v>459</v>
      </c>
      <c r="E34" s="6" t="s">
        <v>460</v>
      </c>
      <c r="F34" s="6" t="s">
        <v>461</v>
      </c>
      <c r="G34" s="6" t="s">
        <v>297</v>
      </c>
      <c r="H34" s="6" t="s">
        <v>454</v>
      </c>
      <c r="I34" s="6" t="s">
        <v>455</v>
      </c>
      <c r="J34" s="6" t="s">
        <v>245</v>
      </c>
      <c r="K34" s="6" t="s">
        <v>462</v>
      </c>
      <c r="L34" s="3"/>
    </row>
    <row r="35" customFormat="false" ht="44.25" hidden="false" customHeight="true" outlineLevel="0" collapsed="false">
      <c r="A35" s="6" t="s">
        <v>463</v>
      </c>
      <c r="B35" s="6" t="s">
        <v>449</v>
      </c>
      <c r="C35" s="6" t="s">
        <v>464</v>
      </c>
      <c r="D35" s="6" t="s">
        <v>465</v>
      </c>
      <c r="E35" s="6" t="s">
        <v>466</v>
      </c>
      <c r="F35" s="6" t="s">
        <v>467</v>
      </c>
      <c r="G35" s="6" t="s">
        <v>297</v>
      </c>
      <c r="H35" s="6" t="s">
        <v>454</v>
      </c>
      <c r="I35" s="6" t="s">
        <v>455</v>
      </c>
      <c r="J35" s="6" t="s">
        <v>245</v>
      </c>
      <c r="K35" s="6" t="s">
        <v>46</v>
      </c>
      <c r="L35" s="3"/>
    </row>
    <row r="36" customFormat="false" ht="71.25" hidden="false" customHeight="true" outlineLevel="0" collapsed="false">
      <c r="A36" s="6" t="s">
        <v>468</v>
      </c>
      <c r="B36" s="6" t="s">
        <v>449</v>
      </c>
      <c r="C36" s="6" t="s">
        <v>469</v>
      </c>
      <c r="D36" s="6" t="s">
        <v>470</v>
      </c>
      <c r="E36" s="6" t="s">
        <v>460</v>
      </c>
      <c r="F36" s="6" t="s">
        <v>471</v>
      </c>
      <c r="G36" s="6" t="s">
        <v>297</v>
      </c>
      <c r="H36" s="6" t="s">
        <v>454</v>
      </c>
      <c r="I36" s="6" t="s">
        <v>455</v>
      </c>
      <c r="J36" s="6" t="s">
        <v>245</v>
      </c>
      <c r="K36" s="6" t="s">
        <v>472</v>
      </c>
      <c r="L36" s="3"/>
    </row>
    <row r="37" customFormat="false" ht="57.75" hidden="false" customHeight="true" outlineLevel="0" collapsed="false">
      <c r="A37" s="6" t="s">
        <v>473</v>
      </c>
      <c r="B37" s="6" t="s">
        <v>449</v>
      </c>
      <c r="C37" s="6" t="s">
        <v>474</v>
      </c>
      <c r="D37" s="6" t="s">
        <v>475</v>
      </c>
      <c r="E37" s="6" t="s">
        <v>460</v>
      </c>
      <c r="F37" s="6" t="s">
        <v>476</v>
      </c>
      <c r="G37" s="6" t="s">
        <v>297</v>
      </c>
      <c r="H37" s="6" t="s">
        <v>454</v>
      </c>
      <c r="I37" s="6" t="s">
        <v>455</v>
      </c>
      <c r="J37" s="6" t="s">
        <v>245</v>
      </c>
      <c r="K37" s="6" t="s">
        <v>477</v>
      </c>
      <c r="L37" s="3"/>
    </row>
    <row r="38" customFormat="false" ht="57.75" hidden="false" customHeight="true" outlineLevel="0" collapsed="false">
      <c r="A38" s="6" t="s">
        <v>478</v>
      </c>
      <c r="B38" s="6" t="s">
        <v>449</v>
      </c>
      <c r="C38" s="6" t="s">
        <v>479</v>
      </c>
      <c r="D38" s="6" t="s">
        <v>480</v>
      </c>
      <c r="E38" s="6" t="s">
        <v>481</v>
      </c>
      <c r="F38" s="6" t="s">
        <v>482</v>
      </c>
      <c r="G38" s="6" t="s">
        <v>297</v>
      </c>
      <c r="H38" s="6" t="s">
        <v>483</v>
      </c>
      <c r="I38" s="6" t="s">
        <v>455</v>
      </c>
      <c r="J38" s="6" t="s">
        <v>245</v>
      </c>
      <c r="K38" s="6" t="s">
        <v>484</v>
      </c>
      <c r="L38" s="3"/>
    </row>
    <row r="39" customFormat="false" ht="15" hidden="false" customHeight="true" outlineLevel="0" collapsed="false">
      <c r="A39" s="6" t="s">
        <v>485</v>
      </c>
      <c r="B39" s="6" t="s">
        <v>449</v>
      </c>
      <c r="C39" s="6" t="s">
        <v>486</v>
      </c>
      <c r="D39" s="6" t="s">
        <v>487</v>
      </c>
      <c r="E39" s="6" t="s">
        <v>481</v>
      </c>
      <c r="F39" s="6" t="s">
        <v>488</v>
      </c>
      <c r="G39" s="6" t="s">
        <v>297</v>
      </c>
      <c r="H39" s="6" t="s">
        <v>483</v>
      </c>
      <c r="I39" s="6" t="s">
        <v>455</v>
      </c>
      <c r="J39" s="6" t="s">
        <v>245</v>
      </c>
      <c r="K39" s="6" t="s">
        <v>489</v>
      </c>
      <c r="L39" s="3"/>
    </row>
    <row r="40" customFormat="false" ht="15" hidden="false" customHeight="true" outlineLevel="0" collapsed="false">
      <c r="A40" s="6" t="s">
        <v>490</v>
      </c>
      <c r="B40" s="6" t="s">
        <v>449</v>
      </c>
      <c r="C40" s="6" t="s">
        <v>491</v>
      </c>
      <c r="D40" s="6" t="s">
        <v>492</v>
      </c>
      <c r="E40" s="6" t="s">
        <v>460</v>
      </c>
      <c r="F40" s="6" t="s">
        <v>493</v>
      </c>
      <c r="G40" s="6" t="s">
        <v>297</v>
      </c>
      <c r="H40" s="6" t="s">
        <v>483</v>
      </c>
      <c r="I40" s="6" t="s">
        <v>455</v>
      </c>
      <c r="J40" s="6" t="s">
        <v>245</v>
      </c>
      <c r="K40" s="6" t="s">
        <v>494</v>
      </c>
      <c r="L40" s="3"/>
    </row>
    <row r="41" customFormat="false" ht="105.75" hidden="false" customHeight="true" outlineLevel="0" collapsed="false">
      <c r="A41" s="6" t="s">
        <v>495</v>
      </c>
      <c r="B41" s="6" t="s">
        <v>496</v>
      </c>
      <c r="C41" s="6" t="s">
        <v>497</v>
      </c>
      <c r="D41" s="6" t="s">
        <v>498</v>
      </c>
      <c r="E41" s="6" t="s">
        <v>361</v>
      </c>
      <c r="F41" s="6" t="s">
        <v>499</v>
      </c>
      <c r="G41" s="6" t="s">
        <v>500</v>
      </c>
      <c r="H41" s="6" t="s">
        <v>501</v>
      </c>
      <c r="I41" s="6" t="s">
        <v>502</v>
      </c>
      <c r="J41" s="6" t="s">
        <v>245</v>
      </c>
      <c r="K41" s="6" t="s">
        <v>503</v>
      </c>
      <c r="L41" s="3"/>
    </row>
    <row r="42" customFormat="false" ht="15" hidden="false" customHeight="true" outlineLevel="0" collapsed="false">
      <c r="A42" s="6" t="s">
        <v>504</v>
      </c>
      <c r="B42" s="6" t="s">
        <v>496</v>
      </c>
      <c r="C42" s="6" t="s">
        <v>505</v>
      </c>
      <c r="D42" s="6" t="s">
        <v>506</v>
      </c>
      <c r="E42" s="6" t="s">
        <v>368</v>
      </c>
      <c r="F42" s="6" t="s">
        <v>369</v>
      </c>
      <c r="G42" s="6" t="s">
        <v>507</v>
      </c>
      <c r="H42" s="6" t="s">
        <v>508</v>
      </c>
      <c r="I42" s="6" t="s">
        <v>502</v>
      </c>
      <c r="J42" s="6" t="s">
        <v>245</v>
      </c>
      <c r="K42" s="6" t="s">
        <v>509</v>
      </c>
      <c r="L42" s="3"/>
    </row>
    <row r="43" customFormat="false" ht="71.25" hidden="false" customHeight="true" outlineLevel="0" collapsed="false">
      <c r="A43" s="6" t="s">
        <v>510</v>
      </c>
      <c r="B43" s="6" t="s">
        <v>496</v>
      </c>
      <c r="C43" s="6" t="s">
        <v>511</v>
      </c>
      <c r="D43" s="6" t="s">
        <v>512</v>
      </c>
      <c r="E43" s="6" t="s">
        <v>513</v>
      </c>
      <c r="F43" s="6" t="s">
        <v>514</v>
      </c>
      <c r="G43" s="6" t="s">
        <v>339</v>
      </c>
      <c r="H43" s="6" t="s">
        <v>515</v>
      </c>
      <c r="I43" s="6" t="s">
        <v>502</v>
      </c>
      <c r="J43" s="6" t="s">
        <v>245</v>
      </c>
      <c r="K43" s="6" t="s">
        <v>516</v>
      </c>
      <c r="L43" s="3"/>
    </row>
    <row r="44" customFormat="false" ht="15" hidden="false" customHeight="true" outlineLevel="0" collapsed="false">
      <c r="A44" s="6" t="s">
        <v>517</v>
      </c>
      <c r="B44" s="6" t="s">
        <v>496</v>
      </c>
      <c r="C44" s="6" t="s">
        <v>518</v>
      </c>
      <c r="D44" s="6" t="s">
        <v>519</v>
      </c>
      <c r="E44" s="6" t="s">
        <v>520</v>
      </c>
      <c r="F44" s="6" t="s">
        <v>521</v>
      </c>
      <c r="G44" s="6" t="s">
        <v>355</v>
      </c>
      <c r="H44" s="6" t="s">
        <v>454</v>
      </c>
      <c r="I44" s="6" t="s">
        <v>502</v>
      </c>
      <c r="J44" s="6" t="s">
        <v>245</v>
      </c>
      <c r="K44" s="6" t="s">
        <v>522</v>
      </c>
      <c r="L44" s="3"/>
    </row>
    <row r="45" customFormat="false" ht="57.75" hidden="false" customHeight="true" outlineLevel="0" collapsed="false">
      <c r="A45" s="6" t="s">
        <v>523</v>
      </c>
      <c r="B45" s="6" t="s">
        <v>496</v>
      </c>
      <c r="C45" s="6" t="s">
        <v>524</v>
      </c>
      <c r="D45" s="6" t="s">
        <v>525</v>
      </c>
      <c r="E45" s="6" t="s">
        <v>526</v>
      </c>
      <c r="F45" s="6" t="s">
        <v>527</v>
      </c>
      <c r="G45" s="6" t="s">
        <v>297</v>
      </c>
      <c r="H45" s="6" t="s">
        <v>528</v>
      </c>
      <c r="I45" s="6" t="s">
        <v>529</v>
      </c>
      <c r="J45" s="6" t="s">
        <v>245</v>
      </c>
      <c r="K45" s="6" t="s">
        <v>530</v>
      </c>
      <c r="L45" s="3"/>
    </row>
    <row r="46" customFormat="false" ht="67.5" hidden="false" customHeight="true" outlineLevel="0" collapsed="false">
      <c r="A46" s="6" t="s">
        <v>531</v>
      </c>
      <c r="B46" s="6" t="s">
        <v>449</v>
      </c>
      <c r="C46" s="6" t="s">
        <v>532</v>
      </c>
      <c r="D46" s="6" t="s">
        <v>533</v>
      </c>
      <c r="E46" s="6" t="s">
        <v>481</v>
      </c>
      <c r="F46" s="6" t="s">
        <v>534</v>
      </c>
      <c r="G46" s="6" t="s">
        <v>297</v>
      </c>
      <c r="H46" s="6" t="s">
        <v>535</v>
      </c>
      <c r="I46" s="6" t="s">
        <v>455</v>
      </c>
      <c r="J46" s="6" t="s">
        <v>245</v>
      </c>
      <c r="K46" s="6" t="s">
        <v>536</v>
      </c>
      <c r="L46" s="3"/>
    </row>
    <row r="47" customFormat="false" ht="57.75" hidden="false" customHeight="true" outlineLevel="0" collapsed="false">
      <c r="A47" s="6" t="s">
        <v>537</v>
      </c>
      <c r="B47" s="6" t="s">
        <v>449</v>
      </c>
      <c r="C47" s="6" t="s">
        <v>538</v>
      </c>
      <c r="D47" s="6" t="s">
        <v>539</v>
      </c>
      <c r="E47" s="6" t="s">
        <v>540</v>
      </c>
      <c r="F47" s="6" t="s">
        <v>471</v>
      </c>
      <c r="G47" s="6" t="s">
        <v>297</v>
      </c>
      <c r="H47" s="6" t="s">
        <v>541</v>
      </c>
      <c r="I47" s="6" t="s">
        <v>455</v>
      </c>
      <c r="J47" s="6" t="s">
        <v>245</v>
      </c>
      <c r="K47" s="6" t="s">
        <v>542</v>
      </c>
      <c r="L47" s="3"/>
    </row>
    <row r="48" customFormat="false" ht="67.5" hidden="false" customHeight="true" outlineLevel="0" collapsed="false">
      <c r="A48" s="6" t="s">
        <v>543</v>
      </c>
      <c r="B48" s="6" t="s">
        <v>276</v>
      </c>
      <c r="C48" s="6" t="s">
        <v>544</v>
      </c>
      <c r="D48" s="6" t="s">
        <v>545</v>
      </c>
      <c r="E48" s="6" t="s">
        <v>345</v>
      </c>
      <c r="F48" s="6" t="s">
        <v>546</v>
      </c>
      <c r="G48" s="6" t="s">
        <v>547</v>
      </c>
      <c r="H48" s="6" t="s">
        <v>548</v>
      </c>
      <c r="I48" s="6" t="s">
        <v>283</v>
      </c>
      <c r="J48" s="6" t="s">
        <v>245</v>
      </c>
      <c r="K48" s="6" t="s">
        <v>549</v>
      </c>
      <c r="L48" s="3"/>
    </row>
    <row r="49" customFormat="false" ht="67.5" hidden="false" customHeight="true" outlineLevel="0" collapsed="false">
      <c r="A49" s="6" t="s">
        <v>550</v>
      </c>
      <c r="B49" s="6" t="s">
        <v>309</v>
      </c>
      <c r="C49" s="6" t="s">
        <v>551</v>
      </c>
      <c r="D49" s="6" t="s">
        <v>552</v>
      </c>
      <c r="E49" s="6" t="s">
        <v>345</v>
      </c>
      <c r="F49" s="6" t="s">
        <v>553</v>
      </c>
      <c r="G49" s="6" t="s">
        <v>554</v>
      </c>
      <c r="H49" s="6" t="s">
        <v>555</v>
      </c>
      <c r="I49" s="6" t="s">
        <v>316</v>
      </c>
      <c r="J49" s="6" t="s">
        <v>245</v>
      </c>
      <c r="K49" s="6" t="s">
        <v>556</v>
      </c>
      <c r="L49" s="3"/>
    </row>
    <row r="50" customFormat="false" ht="15" hidden="false" customHeight="true" outlineLevel="0" collapsed="false">
      <c r="A50" s="6" t="s">
        <v>557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3"/>
    </row>
    <row r="51" customFormat="false" ht="15" hidden="false" customHeight="true" outlineLevel="0" collapsed="false">
      <c r="A51" s="6" t="s">
        <v>558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3"/>
    </row>
    <row r="52" customFormat="false" ht="15" hidden="false" customHeight="true" outlineLevel="0" collapsed="false">
      <c r="A52" s="6" t="s">
        <v>559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3"/>
    </row>
    <row r="53" customFormat="false" ht="15" hidden="false" customHeight="true" outlineLevel="0" collapsed="false">
      <c r="A53" s="6" t="s">
        <v>560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3"/>
    </row>
    <row r="54" customFormat="false" ht="15" hidden="false" customHeight="true" outlineLevel="0" collapsed="false">
      <c r="A54" s="6" t="s">
        <v>561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3"/>
    </row>
    <row r="55" customFormat="false" ht="15" hidden="false" customHeight="true" outlineLevel="0" collapsed="false">
      <c r="A55" s="6" t="s">
        <v>562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3"/>
    </row>
    <row r="56" customFormat="false" ht="15" hidden="false" customHeight="true" outlineLevel="0" collapsed="false">
      <c r="A56" s="6" t="s">
        <v>563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3"/>
    </row>
    <row r="57" customFormat="false" ht="15" hidden="false" customHeight="true" outlineLevel="0" collapsed="false">
      <c r="A57" s="6" t="s">
        <v>564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3"/>
    </row>
    <row r="58" customFormat="false" ht="15" hidden="false" customHeight="true" outlineLevel="0" collapsed="false">
      <c r="A58" s="6" t="s">
        <v>565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3"/>
    </row>
    <row r="59" customFormat="false" ht="15" hidden="false" customHeight="true" outlineLevel="0" collapsed="false">
      <c r="A59" s="6" t="s">
        <v>566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3"/>
    </row>
    <row r="60" customFormat="false" ht="15" hidden="false" customHeight="true" outlineLevel="0" collapsed="false">
      <c r="A60" s="6" t="s">
        <v>567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3"/>
    </row>
    <row r="61" customFormat="false" ht="15" hidden="false" customHeight="true" outlineLevel="0" collapsed="false">
      <c r="A61" s="6" t="s">
        <v>568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3"/>
    </row>
    <row r="62" customFormat="false" ht="15" hidden="false" customHeight="true" outlineLevel="0" collapsed="false">
      <c r="A62" s="6" t="s">
        <v>569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3"/>
    </row>
    <row r="63" customFormat="false" ht="15" hidden="false" customHeight="true" outlineLevel="0" collapsed="false">
      <c r="A63" s="6" t="s">
        <v>570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3"/>
    </row>
    <row r="64" customFormat="false" ht="15" hidden="false" customHeight="true" outlineLevel="0" collapsed="false">
      <c r="A64" s="6" t="s">
        <v>571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3"/>
    </row>
    <row r="65" customFormat="false" ht="15" hidden="false" customHeight="true" outlineLevel="0" collapsed="false">
      <c r="A65" s="6" t="s">
        <v>572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3"/>
    </row>
    <row r="66" customFormat="false" ht="15" hidden="false" customHeight="true" outlineLevel="0" collapsed="false">
      <c r="A66" s="6" t="s">
        <v>573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3"/>
    </row>
    <row r="67" customFormat="false" ht="15" hidden="false" customHeight="true" outlineLevel="0" collapsed="false">
      <c r="A67" s="6" t="s">
        <v>574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3"/>
    </row>
    <row r="68" customFormat="false" ht="15" hidden="false" customHeight="true" outlineLevel="0" collapsed="false">
      <c r="A68" s="6" t="s">
        <v>575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3"/>
    </row>
    <row r="69" customFormat="false" ht="15" hidden="false" customHeight="true" outlineLevel="0" collapsed="false">
      <c r="A69" s="6" t="s">
        <v>576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3"/>
    </row>
    <row r="70" customFormat="false" ht="15" hidden="false" customHeight="true" outlineLevel="0" collapsed="false">
      <c r="A70" s="6" t="s">
        <v>577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3"/>
    </row>
    <row r="71" customFormat="false" ht="15" hidden="false" customHeight="true" outlineLevel="0" collapsed="false">
      <c r="A71" s="6" t="s">
        <v>578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3"/>
    </row>
    <row r="72" customFormat="false" ht="15" hidden="false" customHeight="true" outlineLevel="0" collapsed="false">
      <c r="A72" s="6" t="s">
        <v>579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3"/>
    </row>
    <row r="73" customFormat="false" ht="15" hidden="false" customHeight="true" outlineLevel="0" collapsed="false">
      <c r="A73" s="6" t="s">
        <v>580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3"/>
    </row>
    <row r="74" customFormat="false" ht="15" hidden="false" customHeight="true" outlineLevel="0" collapsed="false">
      <c r="A74" s="6" t="s">
        <v>581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3"/>
    </row>
    <row r="75" customFormat="false" ht="15" hidden="false" customHeight="true" outlineLevel="0" collapsed="false">
      <c r="A75" s="6" t="s">
        <v>582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3"/>
    </row>
    <row r="76" customFormat="false" ht="15" hidden="false" customHeight="true" outlineLevel="0" collapsed="false">
      <c r="A76" s="6" t="s">
        <v>583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3"/>
    </row>
    <row r="77" customFormat="false" ht="15" hidden="false" customHeight="true" outlineLevel="0" collapsed="false">
      <c r="A77" s="6" t="s">
        <v>584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3"/>
    </row>
    <row r="78" customFormat="false" ht="15" hidden="false" customHeight="true" outlineLevel="0" collapsed="false">
      <c r="A78" s="6" t="s">
        <v>585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3"/>
    </row>
    <row r="79" customFormat="false" ht="15" hidden="false" customHeight="true" outlineLevel="0" collapsed="false">
      <c r="A79" s="6" t="s">
        <v>586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3"/>
    </row>
    <row r="80" customFormat="false" ht="15" hidden="false" customHeight="true" outlineLevel="0" collapsed="false">
      <c r="A80" s="6" t="s">
        <v>587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3"/>
    </row>
    <row r="81" customFormat="false" ht="15" hidden="false" customHeight="true" outlineLevel="0" collapsed="false">
      <c r="A81" s="6" t="s">
        <v>588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3"/>
    </row>
    <row r="82" customFormat="false" ht="15" hidden="false" customHeight="true" outlineLevel="0" collapsed="false">
      <c r="A82" s="6" t="s">
        <v>589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3"/>
    </row>
    <row r="83" customFormat="false" ht="15" hidden="false" customHeight="true" outlineLevel="0" collapsed="false">
      <c r="A83" s="6" t="s">
        <v>590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3"/>
    </row>
    <row r="84" customFormat="false" ht="15" hidden="false" customHeight="true" outlineLevel="0" collapsed="false">
      <c r="A84" s="6" t="s">
        <v>591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3"/>
    </row>
    <row r="85" customFormat="false" ht="15" hidden="false" customHeight="true" outlineLevel="0" collapsed="false">
      <c r="A85" s="6" t="s">
        <v>592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3"/>
    </row>
    <row r="86" customFormat="false" ht="15" hidden="false" customHeight="true" outlineLevel="0" collapsed="false">
      <c r="A86" s="6" t="s">
        <v>593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3"/>
    </row>
    <row r="87" customFormat="false" ht="15" hidden="false" customHeight="true" outlineLevel="0" collapsed="false">
      <c r="A87" s="6" t="s">
        <v>594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3"/>
    </row>
    <row r="88" customFormat="false" ht="15" hidden="false" customHeight="true" outlineLevel="0" collapsed="false">
      <c r="A88" s="6" t="s">
        <v>595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3"/>
    </row>
    <row r="89" customFormat="false" ht="15" hidden="false" customHeight="true" outlineLevel="0" collapsed="false">
      <c r="A89" s="6" t="s">
        <v>596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3"/>
    </row>
    <row r="90" customFormat="false" ht="15" hidden="false" customHeight="true" outlineLevel="0" collapsed="false">
      <c r="A90" s="6" t="s">
        <v>597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3"/>
    </row>
    <row r="91" customFormat="false" ht="15" hidden="false" customHeight="true" outlineLevel="0" collapsed="false">
      <c r="A91" s="6" t="s">
        <v>598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3"/>
    </row>
    <row r="92" customFormat="false" ht="15" hidden="false" customHeight="true" outlineLevel="0" collapsed="false">
      <c r="A92" s="6" t="s">
        <v>599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3"/>
    </row>
    <row r="93" customFormat="false" ht="15" hidden="false" customHeight="true" outlineLevel="0" collapsed="false">
      <c r="A93" s="6" t="s">
        <v>600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3"/>
    </row>
    <row r="94" customFormat="false" ht="15" hidden="false" customHeight="true" outlineLevel="0" collapsed="false">
      <c r="A94" s="6" t="s">
        <v>601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3"/>
    </row>
    <row r="95" customFormat="false" ht="15" hidden="false" customHeight="true" outlineLevel="0" collapsed="false">
      <c r="A95" s="6" t="s">
        <v>602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3"/>
    </row>
    <row r="96" customFormat="false" ht="15" hidden="false" customHeight="true" outlineLevel="0" collapsed="false">
      <c r="A96" s="6" t="s">
        <v>603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3"/>
    </row>
    <row r="97" customFormat="false" ht="15" hidden="false" customHeight="true" outlineLevel="0" collapsed="false">
      <c r="A97" s="6" t="s">
        <v>604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3"/>
    </row>
    <row r="98" customFormat="false" ht="15" hidden="false" customHeight="true" outlineLevel="0" collapsed="false">
      <c r="A98" s="6" t="s">
        <v>605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3"/>
    </row>
    <row r="99" customFormat="false" ht="15" hidden="false" customHeight="true" outlineLevel="0" collapsed="false">
      <c r="A99" s="6" t="s">
        <v>606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3"/>
    </row>
    <row r="100" customFormat="false" ht="15" hidden="false" customHeight="true" outlineLevel="0" collapsed="false">
      <c r="A100" s="6" t="s">
        <v>607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3"/>
    </row>
    <row r="101" customFormat="false" ht="15" hidden="false" customHeight="true" outlineLevel="0" collapsed="false">
      <c r="A101" s="6" t="s">
        <v>608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3"/>
    </row>
    <row r="102" customFormat="false" ht="15" hidden="false" customHeight="true" outlineLevel="0" collapsed="false">
      <c r="A102" s="6" t="s">
        <v>609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"/>
    </row>
    <row r="103" customFormat="false" ht="15" hidden="false" customHeight="true" outlineLevel="0" collapsed="false">
      <c r="A103" s="6" t="s">
        <v>610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</sheetData>
  <mergeCells count="1">
    <mergeCell ref="A1:K1"/>
  </mergeCells>
  <conditionalFormatting sqref="J4:J103">
    <cfRule type="expression" priority="2" aboveAverage="0" equalAverage="0" bottom="0" percent="0" rank="0" text="" dxfId="0">
      <formula>J4="Validado"</formula>
    </cfRule>
    <cfRule type="expression" priority="3" aboveAverage="0" equalAverage="0" bottom="0" percent="0" rank="0" text="" dxfId="1">
      <formula>J4="Revisar"</formula>
    </cfRule>
  </conditionalFormatting>
  <dataValidations count="2">
    <dataValidation allowBlank="false" errorStyle="stop" operator="between" showDropDown="false" showErrorMessage="false" showInputMessage="false" sqref="B4:B103" type="list">
      <formula1>"View,Controller,Service,DAO,Model/Entity,DTO,Validation,Security,Other"</formula1>
      <formula2>0</formula2>
    </dataValidation>
    <dataValidation allowBlank="false" errorStyle="stop" operator="between" showDropDown="false" showErrorMessage="false" showInputMessage="false" sqref="J4:J103" type="list">
      <formula1>"Propuesto,Revisar,Validado"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6" min="3" style="1" width="20"/>
    <col collapsed="false" customWidth="true" hidden="false" outlineLevel="0" max="7" min="7" style="1" width="18"/>
    <col collapsed="false" customWidth="true" hidden="false" outlineLevel="0" max="8" min="8" style="1" width="28"/>
    <col collapsed="false" customWidth="true" hidden="false" outlineLevel="0" max="9" min="9" style="1" width="26"/>
    <col collapsed="false" customWidth="true" hidden="false" outlineLevel="0" max="11" min="10" style="1" width="28"/>
    <col collapsed="false" customWidth="true" hidden="false" outlineLevel="0" max="12" min="12" style="1" width="14"/>
  </cols>
  <sheetData>
    <row r="1" customFormat="false" ht="20.25" hidden="false" customHeight="true" outlineLevel="0" collapsed="false">
      <c r="A1" s="2" t="s">
        <v>611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612</v>
      </c>
      <c r="B3" s="4" t="s">
        <v>27</v>
      </c>
      <c r="C3" s="4" t="s">
        <v>613</v>
      </c>
      <c r="D3" s="4" t="s">
        <v>614</v>
      </c>
      <c r="E3" s="4" t="s">
        <v>276</v>
      </c>
      <c r="F3" s="4" t="s">
        <v>309</v>
      </c>
      <c r="G3" s="4" t="s">
        <v>373</v>
      </c>
      <c r="H3" s="4" t="s">
        <v>615</v>
      </c>
      <c r="I3" s="4" t="s">
        <v>616</v>
      </c>
      <c r="J3" s="4" t="s">
        <v>617</v>
      </c>
      <c r="K3" s="4" t="s">
        <v>618</v>
      </c>
      <c r="L3" s="4" t="s">
        <v>9</v>
      </c>
    </row>
    <row r="4" customFormat="false" ht="71.25" hidden="false" customHeight="true" outlineLevel="0" collapsed="false">
      <c r="A4" s="6" t="s">
        <v>619</v>
      </c>
      <c r="B4" s="6" t="s">
        <v>37</v>
      </c>
      <c r="C4" s="6" t="s">
        <v>38</v>
      </c>
      <c r="D4" s="6" t="s">
        <v>620</v>
      </c>
      <c r="E4" s="6" t="s">
        <v>242</v>
      </c>
      <c r="F4" s="6" t="s">
        <v>281</v>
      </c>
      <c r="G4" s="6" t="s">
        <v>621</v>
      </c>
      <c r="H4" s="6" t="s">
        <v>622</v>
      </c>
      <c r="I4" s="6" t="s">
        <v>623</v>
      </c>
      <c r="J4" s="6" t="s">
        <v>624</v>
      </c>
      <c r="K4" s="6" t="s">
        <v>625</v>
      </c>
      <c r="L4" s="6" t="s">
        <v>626</v>
      </c>
    </row>
    <row r="5" customFormat="false" ht="30.75" hidden="false" customHeight="true" outlineLevel="0" collapsed="false">
      <c r="A5" s="6" t="s">
        <v>627</v>
      </c>
      <c r="B5" s="6" t="s">
        <v>46</v>
      </c>
      <c r="C5" s="6" t="s">
        <v>38</v>
      </c>
      <c r="D5" s="6" t="s">
        <v>297</v>
      </c>
      <c r="E5" s="6" t="s">
        <v>242</v>
      </c>
      <c r="F5" s="6" t="s">
        <v>628</v>
      </c>
      <c r="G5" s="6" t="s">
        <v>297</v>
      </c>
      <c r="H5" s="6" t="s">
        <v>48</v>
      </c>
      <c r="I5" s="6" t="s">
        <v>629</v>
      </c>
      <c r="J5" s="6" t="s">
        <v>630</v>
      </c>
      <c r="K5" s="6" t="s">
        <v>631</v>
      </c>
      <c r="L5" s="6" t="s">
        <v>626</v>
      </c>
    </row>
    <row r="6" customFormat="false" ht="57.75" hidden="false" customHeight="true" outlineLevel="0" collapsed="false">
      <c r="A6" s="6" t="s">
        <v>632</v>
      </c>
      <c r="B6" s="6" t="s">
        <v>46</v>
      </c>
      <c r="C6" s="6" t="s">
        <v>54</v>
      </c>
      <c r="D6" s="6" t="s">
        <v>633</v>
      </c>
      <c r="E6" s="6" t="s">
        <v>242</v>
      </c>
      <c r="F6" s="6" t="s">
        <v>634</v>
      </c>
      <c r="G6" s="6" t="s">
        <v>635</v>
      </c>
      <c r="H6" s="6" t="s">
        <v>636</v>
      </c>
      <c r="I6" s="6" t="s">
        <v>637</v>
      </c>
      <c r="J6" s="6" t="s">
        <v>630</v>
      </c>
      <c r="K6" s="6" t="s">
        <v>638</v>
      </c>
      <c r="L6" s="6" t="s">
        <v>626</v>
      </c>
    </row>
    <row r="7" customFormat="false" ht="44.25" hidden="false" customHeight="true" outlineLevel="0" collapsed="false">
      <c r="A7" s="6" t="s">
        <v>639</v>
      </c>
      <c r="B7" s="6" t="s">
        <v>60</v>
      </c>
      <c r="C7" s="6" t="s">
        <v>38</v>
      </c>
      <c r="D7" s="6" t="s">
        <v>640</v>
      </c>
      <c r="E7" s="6" t="s">
        <v>242</v>
      </c>
      <c r="F7" s="6" t="s">
        <v>281</v>
      </c>
      <c r="G7" s="6" t="s">
        <v>635</v>
      </c>
      <c r="H7" s="6" t="s">
        <v>641</v>
      </c>
      <c r="I7" s="6" t="s">
        <v>642</v>
      </c>
      <c r="J7" s="6" t="s">
        <v>643</v>
      </c>
      <c r="K7" s="6" t="s">
        <v>644</v>
      </c>
      <c r="L7" s="6" t="s">
        <v>626</v>
      </c>
    </row>
    <row r="8" customFormat="false" ht="57.75" hidden="false" customHeight="true" outlineLevel="0" collapsed="false">
      <c r="A8" s="6" t="s">
        <v>645</v>
      </c>
      <c r="B8" s="6" t="s">
        <v>67</v>
      </c>
      <c r="C8" s="6" t="s">
        <v>68</v>
      </c>
      <c r="D8" s="6" t="s">
        <v>646</v>
      </c>
      <c r="E8" s="6" t="s">
        <v>242</v>
      </c>
      <c r="F8" s="6" t="s">
        <v>281</v>
      </c>
      <c r="G8" s="6" t="s">
        <v>297</v>
      </c>
      <c r="H8" s="6" t="s">
        <v>647</v>
      </c>
      <c r="I8" s="6" t="s">
        <v>648</v>
      </c>
      <c r="J8" s="6" t="s">
        <v>649</v>
      </c>
      <c r="K8" s="6" t="s">
        <v>650</v>
      </c>
      <c r="L8" s="6" t="s">
        <v>626</v>
      </c>
    </row>
    <row r="9" customFormat="false" ht="57.75" hidden="false" customHeight="true" outlineLevel="0" collapsed="false">
      <c r="A9" s="6" t="s">
        <v>651</v>
      </c>
      <c r="B9" s="6" t="s">
        <v>74</v>
      </c>
      <c r="C9" s="6" t="s">
        <v>38</v>
      </c>
      <c r="D9" s="6" t="s">
        <v>652</v>
      </c>
      <c r="E9" s="6" t="s">
        <v>242</v>
      </c>
      <c r="F9" s="6" t="s">
        <v>281</v>
      </c>
      <c r="G9" s="6" t="s">
        <v>635</v>
      </c>
      <c r="H9" s="6" t="s">
        <v>653</v>
      </c>
      <c r="I9" s="6" t="s">
        <v>654</v>
      </c>
      <c r="J9" s="6" t="s">
        <v>643</v>
      </c>
      <c r="K9" s="6" t="s">
        <v>655</v>
      </c>
      <c r="L9" s="6" t="s">
        <v>626</v>
      </c>
    </row>
    <row r="10" customFormat="false" ht="57.75" hidden="false" customHeight="true" outlineLevel="0" collapsed="false">
      <c r="A10" s="6" t="s">
        <v>656</v>
      </c>
      <c r="B10" s="6" t="s">
        <v>80</v>
      </c>
      <c r="C10" s="6" t="s">
        <v>38</v>
      </c>
      <c r="D10" s="6" t="s">
        <v>657</v>
      </c>
      <c r="E10" s="6" t="s">
        <v>242</v>
      </c>
      <c r="F10" s="6" t="s">
        <v>658</v>
      </c>
      <c r="G10" s="6" t="s">
        <v>659</v>
      </c>
      <c r="H10" s="6" t="s">
        <v>660</v>
      </c>
      <c r="I10" s="6" t="s">
        <v>661</v>
      </c>
      <c r="J10" s="6" t="s">
        <v>662</v>
      </c>
      <c r="K10" s="6" t="s">
        <v>663</v>
      </c>
      <c r="L10" s="6" t="s">
        <v>626</v>
      </c>
    </row>
    <row r="11" customFormat="false" ht="57.75" hidden="false" customHeight="true" outlineLevel="0" collapsed="false">
      <c r="A11" s="6" t="s">
        <v>664</v>
      </c>
      <c r="B11" s="6" t="s">
        <v>86</v>
      </c>
      <c r="C11" s="6" t="s">
        <v>87</v>
      </c>
      <c r="D11" s="6" t="s">
        <v>665</v>
      </c>
      <c r="E11" s="6" t="s">
        <v>242</v>
      </c>
      <c r="F11" s="6" t="s">
        <v>281</v>
      </c>
      <c r="G11" s="6" t="s">
        <v>659</v>
      </c>
      <c r="H11" s="6" t="s">
        <v>666</v>
      </c>
      <c r="I11" s="6" t="s">
        <v>667</v>
      </c>
      <c r="J11" s="6" t="s">
        <v>668</v>
      </c>
      <c r="K11" s="6" t="s">
        <v>669</v>
      </c>
      <c r="L11" s="6" t="s">
        <v>626</v>
      </c>
    </row>
    <row r="12" customFormat="false" ht="44.25" hidden="false" customHeight="true" outlineLevel="0" collapsed="false">
      <c r="A12" s="6" t="s">
        <v>670</v>
      </c>
      <c r="B12" s="6" t="s">
        <v>95</v>
      </c>
      <c r="C12" s="6" t="s">
        <v>96</v>
      </c>
      <c r="D12" s="6" t="s">
        <v>671</v>
      </c>
      <c r="E12" s="6" t="s">
        <v>258</v>
      </c>
      <c r="F12" s="6" t="s">
        <v>672</v>
      </c>
      <c r="G12" s="6" t="s">
        <v>673</v>
      </c>
      <c r="H12" s="6" t="s">
        <v>674</v>
      </c>
      <c r="I12" s="6" t="s">
        <v>675</v>
      </c>
      <c r="J12" s="6" t="s">
        <v>676</v>
      </c>
      <c r="K12" s="6" t="s">
        <v>677</v>
      </c>
      <c r="L12" s="6" t="s">
        <v>626</v>
      </c>
    </row>
    <row r="13" customFormat="false" ht="44.25" hidden="false" customHeight="true" outlineLevel="0" collapsed="false">
      <c r="A13" s="6" t="s">
        <v>678</v>
      </c>
      <c r="B13" s="6" t="s">
        <v>103</v>
      </c>
      <c r="C13" s="6" t="s">
        <v>96</v>
      </c>
      <c r="D13" s="6" t="s">
        <v>646</v>
      </c>
      <c r="E13" s="6" t="s">
        <v>258</v>
      </c>
      <c r="F13" s="6" t="s">
        <v>281</v>
      </c>
      <c r="G13" s="6" t="s">
        <v>635</v>
      </c>
      <c r="H13" s="6" t="s">
        <v>679</v>
      </c>
      <c r="I13" s="6" t="s">
        <v>680</v>
      </c>
      <c r="J13" s="6" t="s">
        <v>681</v>
      </c>
      <c r="K13" s="6" t="s">
        <v>682</v>
      </c>
      <c r="L13" s="6" t="s">
        <v>626</v>
      </c>
    </row>
    <row r="14" customFormat="false" ht="30.75" hidden="false" customHeight="true" outlineLevel="0" collapsed="false">
      <c r="A14" s="6" t="s">
        <v>683</v>
      </c>
      <c r="B14" s="6" t="s">
        <v>103</v>
      </c>
      <c r="C14" s="6" t="s">
        <v>96</v>
      </c>
      <c r="D14" s="6" t="s">
        <v>665</v>
      </c>
      <c r="E14" s="6" t="s">
        <v>258</v>
      </c>
      <c r="F14" s="6" t="s">
        <v>281</v>
      </c>
      <c r="G14" s="6" t="s">
        <v>659</v>
      </c>
      <c r="H14" s="6" t="s">
        <v>684</v>
      </c>
      <c r="I14" s="6" t="s">
        <v>685</v>
      </c>
      <c r="J14" s="6" t="s">
        <v>686</v>
      </c>
      <c r="K14" s="6" t="s">
        <v>687</v>
      </c>
      <c r="L14" s="6" t="s">
        <v>626</v>
      </c>
    </row>
    <row r="15" customFormat="false" ht="80.25" hidden="false" customHeight="true" outlineLevel="0" collapsed="false">
      <c r="A15" s="6" t="s">
        <v>688</v>
      </c>
      <c r="B15" s="6" t="s">
        <v>114</v>
      </c>
      <c r="C15" s="6" t="s">
        <v>689</v>
      </c>
      <c r="D15" s="6" t="s">
        <v>690</v>
      </c>
      <c r="E15" s="6" t="s">
        <v>258</v>
      </c>
      <c r="F15" s="6" t="s">
        <v>554</v>
      </c>
      <c r="G15" s="6" t="s">
        <v>635</v>
      </c>
      <c r="H15" s="6" t="s">
        <v>691</v>
      </c>
      <c r="I15" s="6" t="s">
        <v>692</v>
      </c>
      <c r="J15" s="6" t="s">
        <v>693</v>
      </c>
      <c r="K15" s="6" t="s">
        <v>694</v>
      </c>
      <c r="L15" s="6" t="s">
        <v>626</v>
      </c>
    </row>
    <row r="16" customFormat="false" ht="44.25" hidden="false" customHeight="true" outlineLevel="0" collapsed="false">
      <c r="A16" s="6" t="s">
        <v>695</v>
      </c>
      <c r="B16" s="6" t="s">
        <v>122</v>
      </c>
      <c r="C16" s="6" t="s">
        <v>696</v>
      </c>
      <c r="D16" s="6" t="s">
        <v>697</v>
      </c>
      <c r="E16" s="6" t="s">
        <v>258</v>
      </c>
      <c r="F16" s="6" t="s">
        <v>554</v>
      </c>
      <c r="G16" s="6" t="s">
        <v>698</v>
      </c>
      <c r="H16" s="6" t="s">
        <v>699</v>
      </c>
      <c r="I16" s="6" t="s">
        <v>700</v>
      </c>
      <c r="J16" s="6" t="s">
        <v>701</v>
      </c>
      <c r="K16" s="6" t="s">
        <v>702</v>
      </c>
      <c r="L16" s="6" t="s">
        <v>626</v>
      </c>
    </row>
    <row r="17" customFormat="false" ht="57.75" hidden="false" customHeight="true" outlineLevel="0" collapsed="false">
      <c r="A17" s="6" t="s">
        <v>703</v>
      </c>
      <c r="B17" s="6" t="s">
        <v>130</v>
      </c>
      <c r="C17" s="6" t="s">
        <v>96</v>
      </c>
      <c r="D17" s="6" t="s">
        <v>704</v>
      </c>
      <c r="E17" s="6" t="s">
        <v>258</v>
      </c>
      <c r="F17" s="6" t="s">
        <v>705</v>
      </c>
      <c r="G17" s="6" t="s">
        <v>331</v>
      </c>
      <c r="H17" s="6" t="s">
        <v>706</v>
      </c>
      <c r="I17" s="6" t="s">
        <v>707</v>
      </c>
      <c r="J17" s="6" t="s">
        <v>708</v>
      </c>
      <c r="K17" s="6" t="s">
        <v>709</v>
      </c>
      <c r="L17" s="6" t="s">
        <v>626</v>
      </c>
    </row>
    <row r="18" customFormat="false" ht="42" hidden="false" customHeight="true" outlineLevel="0" collapsed="false">
      <c r="A18" s="6" t="s">
        <v>710</v>
      </c>
      <c r="B18" s="6" t="s">
        <v>114</v>
      </c>
      <c r="C18" s="6" t="s">
        <v>137</v>
      </c>
      <c r="D18" s="6" t="s">
        <v>690</v>
      </c>
      <c r="E18" s="6" t="s">
        <v>711</v>
      </c>
      <c r="F18" s="6" t="s">
        <v>712</v>
      </c>
      <c r="G18" s="6" t="s">
        <v>635</v>
      </c>
      <c r="H18" s="6" t="s">
        <v>713</v>
      </c>
      <c r="I18" s="6" t="s">
        <v>714</v>
      </c>
      <c r="J18" s="6" t="s">
        <v>715</v>
      </c>
      <c r="K18" s="6" t="s">
        <v>716</v>
      </c>
      <c r="L18" s="6" t="s">
        <v>626</v>
      </c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</sheetData>
  <mergeCells count="1">
    <mergeCell ref="A1:L1"/>
  </mergeCells>
  <conditionalFormatting sqref="L4:L103">
    <cfRule type="expression" priority="2" aboveAverage="0" equalAverage="0" bottom="0" percent="0" rank="0" text="" dxfId="0">
      <formula>L4="Trazado"</formula>
    </cfRule>
  </conditionalFormatting>
  <dataValidations count="1">
    <dataValidation allowBlank="false" errorStyle="stop" operator="between" showDropDown="false" showErrorMessage="false" showInputMessage="false" sqref="L4:L103" type="list">
      <formula1>"Pendiente,En revisión,Trazado"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26"/>
    <col collapsed="false" customWidth="true" hidden="false" outlineLevel="0" max="5" min="4" style="1" width="28"/>
    <col collapsed="false" customWidth="true" hidden="false" outlineLevel="0" max="7" min="6" style="1" width="22"/>
    <col collapsed="false" customWidth="true" hidden="false" outlineLevel="0" max="8" min="8" style="1" width="16"/>
    <col collapsed="false" customWidth="true" hidden="false" outlineLevel="0" max="9" min="9" style="1" width="28"/>
    <col collapsed="false" customWidth="true" hidden="false" outlineLevel="0" max="10" min="10" style="1" width="16"/>
    <col collapsed="false" customWidth="true" hidden="false" outlineLevel="0" max="11" min="11" style="1" width="34"/>
  </cols>
  <sheetData>
    <row r="1" customFormat="false" ht="20.25" hidden="false" customHeight="true" outlineLevel="0" collapsed="false">
      <c r="A1" s="2" t="s">
        <v>717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24</v>
      </c>
      <c r="B3" s="4" t="s">
        <v>718</v>
      </c>
      <c r="C3" s="4" t="s">
        <v>719</v>
      </c>
      <c r="D3" s="4" t="s">
        <v>720</v>
      </c>
      <c r="E3" s="4" t="s">
        <v>721</v>
      </c>
      <c r="F3" s="4" t="s">
        <v>722</v>
      </c>
      <c r="G3" s="4" t="s">
        <v>723</v>
      </c>
      <c r="H3" s="4" t="s">
        <v>724</v>
      </c>
      <c r="I3" s="4" t="s">
        <v>725</v>
      </c>
      <c r="J3" s="4" t="s">
        <v>9</v>
      </c>
      <c r="K3" s="4" t="s">
        <v>726</v>
      </c>
      <c r="L3" s="3"/>
    </row>
    <row r="4" customFormat="false" ht="44.25" hidden="false" customHeight="true" outlineLevel="0" collapsed="false">
      <c r="A4" s="6" t="s">
        <v>727</v>
      </c>
      <c r="B4" s="6" t="s">
        <v>728</v>
      </c>
      <c r="C4" s="6" t="s">
        <v>729</v>
      </c>
      <c r="D4" s="6" t="s">
        <v>730</v>
      </c>
      <c r="E4" s="6" t="s">
        <v>731</v>
      </c>
      <c r="F4" s="6" t="s">
        <v>628</v>
      </c>
      <c r="G4" s="6" t="s">
        <v>732</v>
      </c>
      <c r="H4" s="6" t="s">
        <v>20</v>
      </c>
      <c r="I4" s="6" t="s">
        <v>733</v>
      </c>
      <c r="J4" s="6" t="s">
        <v>13</v>
      </c>
      <c r="K4" s="6" t="s">
        <v>734</v>
      </c>
      <c r="L4" s="3"/>
    </row>
    <row r="5" customFormat="false" ht="44.25" hidden="false" customHeight="true" outlineLevel="0" collapsed="false">
      <c r="A5" s="6" t="s">
        <v>735</v>
      </c>
      <c r="B5" s="6" t="s">
        <v>736</v>
      </c>
      <c r="C5" s="6" t="s">
        <v>737</v>
      </c>
      <c r="D5" s="6" t="s">
        <v>730</v>
      </c>
      <c r="E5" s="6" t="s">
        <v>738</v>
      </c>
      <c r="F5" s="6" t="s">
        <v>628</v>
      </c>
      <c r="G5" s="6" t="s">
        <v>739</v>
      </c>
      <c r="H5" s="6" t="s">
        <v>20</v>
      </c>
      <c r="I5" s="6" t="s">
        <v>740</v>
      </c>
      <c r="J5" s="6" t="s">
        <v>13</v>
      </c>
      <c r="K5" s="6" t="s">
        <v>741</v>
      </c>
      <c r="L5" s="3"/>
    </row>
    <row r="6" customFormat="false" ht="44.25" hidden="false" customHeight="true" outlineLevel="0" collapsed="false">
      <c r="A6" s="6" t="s">
        <v>742</v>
      </c>
      <c r="B6" s="6" t="s">
        <v>743</v>
      </c>
      <c r="C6" s="6" t="s">
        <v>744</v>
      </c>
      <c r="D6" s="6" t="s">
        <v>745</v>
      </c>
      <c r="E6" s="6" t="s">
        <v>746</v>
      </c>
      <c r="F6" s="6" t="s">
        <v>628</v>
      </c>
      <c r="G6" s="6" t="s">
        <v>747</v>
      </c>
      <c r="H6" s="6" t="s">
        <v>20</v>
      </c>
      <c r="I6" s="6" t="s">
        <v>748</v>
      </c>
      <c r="J6" s="6" t="s">
        <v>13</v>
      </c>
      <c r="K6" s="6" t="s">
        <v>749</v>
      </c>
      <c r="L6" s="3"/>
    </row>
    <row r="7" customFormat="false" ht="30.75" hidden="false" customHeight="true" outlineLevel="0" collapsed="false">
      <c r="A7" s="6" t="s">
        <v>750</v>
      </c>
      <c r="B7" s="6" t="s">
        <v>751</v>
      </c>
      <c r="C7" s="6" t="s">
        <v>752</v>
      </c>
      <c r="D7" s="6" t="s">
        <v>753</v>
      </c>
      <c r="E7" s="6" t="s">
        <v>754</v>
      </c>
      <c r="F7" s="6" t="s">
        <v>755</v>
      </c>
      <c r="G7" s="6" t="s">
        <v>756</v>
      </c>
      <c r="H7" s="6" t="s">
        <v>20</v>
      </c>
      <c r="I7" s="6" t="s">
        <v>757</v>
      </c>
      <c r="J7" s="6" t="s">
        <v>13</v>
      </c>
      <c r="K7" s="6" t="s">
        <v>758</v>
      </c>
      <c r="L7" s="3"/>
    </row>
    <row r="8" customFormat="false" ht="44.25" hidden="false" customHeight="true" outlineLevel="0" collapsed="false">
      <c r="A8" s="6" t="s">
        <v>759</v>
      </c>
      <c r="B8" s="6" t="s">
        <v>760</v>
      </c>
      <c r="C8" s="6" t="s">
        <v>761</v>
      </c>
      <c r="D8" s="6" t="s">
        <v>762</v>
      </c>
      <c r="E8" s="6" t="s">
        <v>763</v>
      </c>
      <c r="F8" s="6" t="s">
        <v>281</v>
      </c>
      <c r="G8" s="6" t="s">
        <v>764</v>
      </c>
      <c r="H8" s="6" t="s">
        <v>20</v>
      </c>
      <c r="I8" s="6" t="s">
        <v>765</v>
      </c>
      <c r="J8" s="6" t="s">
        <v>13</v>
      </c>
      <c r="K8" s="6" t="s">
        <v>766</v>
      </c>
      <c r="L8" s="3"/>
    </row>
    <row r="9" customFormat="false" ht="44.25" hidden="false" customHeight="true" outlineLevel="0" collapsed="false">
      <c r="A9" s="6" t="s">
        <v>767</v>
      </c>
      <c r="B9" s="6" t="s">
        <v>768</v>
      </c>
      <c r="C9" s="6" t="s">
        <v>769</v>
      </c>
      <c r="D9" s="6" t="s">
        <v>770</v>
      </c>
      <c r="E9" s="6" t="s">
        <v>771</v>
      </c>
      <c r="F9" s="6" t="s">
        <v>281</v>
      </c>
      <c r="G9" s="6" t="s">
        <v>635</v>
      </c>
      <c r="H9" s="6" t="s">
        <v>20</v>
      </c>
      <c r="I9" s="6" t="s">
        <v>772</v>
      </c>
      <c r="J9" s="6" t="s">
        <v>13</v>
      </c>
      <c r="K9" s="6" t="s">
        <v>773</v>
      </c>
      <c r="L9" s="3"/>
    </row>
    <row r="10" customFormat="false" ht="30.75" hidden="false" customHeight="true" outlineLevel="0" collapsed="false">
      <c r="A10" s="6" t="s">
        <v>774</v>
      </c>
      <c r="B10" s="6" t="s">
        <v>775</v>
      </c>
      <c r="C10" s="6" t="s">
        <v>769</v>
      </c>
      <c r="D10" s="6" t="s">
        <v>776</v>
      </c>
      <c r="E10" s="6" t="s">
        <v>777</v>
      </c>
      <c r="F10" s="6" t="s">
        <v>281</v>
      </c>
      <c r="G10" s="6" t="s">
        <v>659</v>
      </c>
      <c r="H10" s="6" t="s">
        <v>20</v>
      </c>
      <c r="I10" s="6" t="s">
        <v>778</v>
      </c>
      <c r="J10" s="6" t="s">
        <v>13</v>
      </c>
      <c r="K10" s="6" t="s">
        <v>779</v>
      </c>
      <c r="L10" s="3"/>
    </row>
    <row r="11" customFormat="false" ht="44.25" hidden="false" customHeight="true" outlineLevel="0" collapsed="false">
      <c r="A11" s="6" t="s">
        <v>780</v>
      </c>
      <c r="B11" s="6" t="s">
        <v>781</v>
      </c>
      <c r="C11" s="6" t="s">
        <v>782</v>
      </c>
      <c r="D11" s="6" t="s">
        <v>762</v>
      </c>
      <c r="E11" s="6" t="s">
        <v>783</v>
      </c>
      <c r="F11" s="6" t="s">
        <v>281</v>
      </c>
      <c r="G11" s="6" t="s">
        <v>784</v>
      </c>
      <c r="H11" s="6" t="s">
        <v>20</v>
      </c>
      <c r="I11" s="6" t="s">
        <v>785</v>
      </c>
      <c r="J11" s="6" t="s">
        <v>13</v>
      </c>
      <c r="K11" s="6" t="s">
        <v>786</v>
      </c>
      <c r="L11" s="3"/>
    </row>
    <row r="12" customFormat="false" ht="30.75" hidden="false" customHeight="true" outlineLevel="0" collapsed="false">
      <c r="A12" s="6" t="s">
        <v>787</v>
      </c>
      <c r="B12" s="6" t="s">
        <v>788</v>
      </c>
      <c r="C12" s="6" t="s">
        <v>789</v>
      </c>
      <c r="D12" s="6" t="s">
        <v>790</v>
      </c>
      <c r="E12" s="6" t="s">
        <v>791</v>
      </c>
      <c r="F12" s="6" t="s">
        <v>635</v>
      </c>
      <c r="G12" s="6" t="s">
        <v>792</v>
      </c>
      <c r="H12" s="6" t="s">
        <v>20</v>
      </c>
      <c r="I12" s="6" t="s">
        <v>793</v>
      </c>
      <c r="J12" s="6" t="s">
        <v>794</v>
      </c>
      <c r="K12" s="6" t="s">
        <v>795</v>
      </c>
      <c r="L12" s="3"/>
    </row>
    <row r="13" customFormat="false" ht="30.75" hidden="false" customHeight="true" outlineLevel="0" collapsed="false">
      <c r="A13" s="6" t="s">
        <v>796</v>
      </c>
      <c r="B13" s="6" t="s">
        <v>797</v>
      </c>
      <c r="C13" s="6" t="s">
        <v>798</v>
      </c>
      <c r="D13" s="6" t="s">
        <v>799</v>
      </c>
      <c r="E13" s="6" t="s">
        <v>800</v>
      </c>
      <c r="F13" s="6" t="s">
        <v>635</v>
      </c>
      <c r="G13" s="6" t="s">
        <v>792</v>
      </c>
      <c r="H13" s="6" t="s">
        <v>20</v>
      </c>
      <c r="I13" s="6" t="s">
        <v>801</v>
      </c>
      <c r="J13" s="6" t="s">
        <v>794</v>
      </c>
      <c r="K13" s="6" t="s">
        <v>802</v>
      </c>
      <c r="L13" s="3"/>
    </row>
    <row r="14" customFormat="false" ht="30.75" hidden="false" customHeight="true" outlineLevel="0" collapsed="false">
      <c r="A14" s="6" t="s">
        <v>803</v>
      </c>
      <c r="B14" s="6" t="s">
        <v>804</v>
      </c>
      <c r="C14" s="6" t="s">
        <v>805</v>
      </c>
      <c r="D14" s="6" t="s">
        <v>806</v>
      </c>
      <c r="E14" s="6" t="s">
        <v>807</v>
      </c>
      <c r="F14" s="6" t="s">
        <v>281</v>
      </c>
      <c r="G14" s="6" t="s">
        <v>808</v>
      </c>
      <c r="H14" s="6" t="s">
        <v>20</v>
      </c>
      <c r="I14" s="6" t="s">
        <v>809</v>
      </c>
      <c r="J14" s="6" t="s">
        <v>13</v>
      </c>
      <c r="K14" s="6" t="s">
        <v>810</v>
      </c>
      <c r="L14" s="3"/>
    </row>
    <row r="15" customFormat="false" ht="30.75" hidden="false" customHeight="true" outlineLevel="0" collapsed="false">
      <c r="A15" s="6" t="s">
        <v>811</v>
      </c>
      <c r="B15" s="6" t="s">
        <v>812</v>
      </c>
      <c r="C15" s="6" t="s">
        <v>813</v>
      </c>
      <c r="D15" s="6" t="s">
        <v>814</v>
      </c>
      <c r="E15" s="6" t="s">
        <v>815</v>
      </c>
      <c r="F15" s="6" t="s">
        <v>281</v>
      </c>
      <c r="G15" s="6" t="s">
        <v>808</v>
      </c>
      <c r="H15" s="6" t="s">
        <v>20</v>
      </c>
      <c r="I15" s="6" t="s">
        <v>816</v>
      </c>
      <c r="J15" s="6" t="s">
        <v>13</v>
      </c>
      <c r="K15" s="6" t="s">
        <v>817</v>
      </c>
      <c r="L15" s="3"/>
    </row>
    <row r="16" customFormat="false" ht="44.25" hidden="false" customHeight="true" outlineLevel="0" collapsed="false">
      <c r="A16" s="6" t="s">
        <v>818</v>
      </c>
      <c r="B16" s="6" t="s">
        <v>819</v>
      </c>
      <c r="C16" s="6" t="s">
        <v>820</v>
      </c>
      <c r="D16" s="6" t="s">
        <v>821</v>
      </c>
      <c r="E16" s="6" t="s">
        <v>822</v>
      </c>
      <c r="F16" s="6" t="s">
        <v>258</v>
      </c>
      <c r="G16" s="6" t="s">
        <v>823</v>
      </c>
      <c r="H16" s="6" t="s">
        <v>20</v>
      </c>
      <c r="I16" s="6" t="s">
        <v>824</v>
      </c>
      <c r="J16" s="6" t="s">
        <v>13</v>
      </c>
      <c r="K16" s="6" t="s">
        <v>825</v>
      </c>
      <c r="L16" s="3"/>
    </row>
    <row r="17" customFormat="false" ht="44.25" hidden="false" customHeight="true" outlineLevel="0" collapsed="false">
      <c r="A17" s="6" t="s">
        <v>826</v>
      </c>
      <c r="B17" s="6" t="s">
        <v>827</v>
      </c>
      <c r="C17" s="6" t="s">
        <v>828</v>
      </c>
      <c r="D17" s="6" t="s">
        <v>829</v>
      </c>
      <c r="E17" s="6" t="s">
        <v>830</v>
      </c>
      <c r="F17" s="6" t="s">
        <v>672</v>
      </c>
      <c r="G17" s="6" t="s">
        <v>673</v>
      </c>
      <c r="H17" s="6" t="s">
        <v>20</v>
      </c>
      <c r="I17" s="6" t="s">
        <v>831</v>
      </c>
      <c r="J17" s="6" t="s">
        <v>13</v>
      </c>
      <c r="K17" s="6" t="s">
        <v>832</v>
      </c>
      <c r="L17" s="3"/>
    </row>
    <row r="18" customFormat="false" ht="30.75" hidden="false" customHeight="true" outlineLevel="0" collapsed="false">
      <c r="A18" s="6" t="s">
        <v>833</v>
      </c>
      <c r="B18" s="6" t="s">
        <v>834</v>
      </c>
      <c r="C18" s="6" t="s">
        <v>835</v>
      </c>
      <c r="D18" s="6" t="s">
        <v>836</v>
      </c>
      <c r="E18" s="6" t="s">
        <v>837</v>
      </c>
      <c r="F18" s="6" t="s">
        <v>705</v>
      </c>
      <c r="G18" s="6" t="s">
        <v>838</v>
      </c>
      <c r="H18" s="6" t="s">
        <v>20</v>
      </c>
      <c r="I18" s="6" t="s">
        <v>839</v>
      </c>
      <c r="J18" s="6" t="s">
        <v>13</v>
      </c>
      <c r="K18" s="6" t="s">
        <v>840</v>
      </c>
      <c r="L18" s="3"/>
    </row>
    <row r="19" customFormat="false" ht="44.25" hidden="false" customHeight="true" outlineLevel="0" collapsed="false">
      <c r="A19" s="6" t="s">
        <v>841</v>
      </c>
      <c r="B19" s="6" t="s">
        <v>842</v>
      </c>
      <c r="C19" s="6" t="s">
        <v>843</v>
      </c>
      <c r="D19" s="6" t="s">
        <v>844</v>
      </c>
      <c r="E19" s="6" t="s">
        <v>845</v>
      </c>
      <c r="F19" s="6" t="s">
        <v>705</v>
      </c>
      <c r="G19" s="6" t="s">
        <v>846</v>
      </c>
      <c r="H19" s="6" t="s">
        <v>20</v>
      </c>
      <c r="I19" s="6" t="s">
        <v>847</v>
      </c>
      <c r="J19" s="6" t="s">
        <v>13</v>
      </c>
      <c r="K19" s="6" t="s">
        <v>848</v>
      </c>
      <c r="L19" s="3"/>
    </row>
    <row r="20" customFormat="false" ht="105.75" hidden="false" customHeight="true" outlineLevel="0" collapsed="false">
      <c r="A20" s="6" t="s">
        <v>849</v>
      </c>
      <c r="B20" s="6" t="s">
        <v>850</v>
      </c>
      <c r="C20" s="6" t="s">
        <v>851</v>
      </c>
      <c r="D20" s="6" t="s">
        <v>852</v>
      </c>
      <c r="E20" s="6" t="s">
        <v>853</v>
      </c>
      <c r="F20" s="6" t="s">
        <v>281</v>
      </c>
      <c r="G20" s="6" t="s">
        <v>659</v>
      </c>
      <c r="H20" s="6" t="s">
        <v>20</v>
      </c>
      <c r="I20" s="6" t="s">
        <v>854</v>
      </c>
      <c r="J20" s="6" t="s">
        <v>13</v>
      </c>
      <c r="K20" s="6" t="s">
        <v>855</v>
      </c>
      <c r="L20" s="3"/>
    </row>
    <row r="21" customFormat="false" ht="30.75" hidden="false" customHeight="true" outlineLevel="0" collapsed="false">
      <c r="A21" s="6" t="s">
        <v>856</v>
      </c>
      <c r="B21" s="6" t="s">
        <v>857</v>
      </c>
      <c r="C21" s="6" t="s">
        <v>858</v>
      </c>
      <c r="D21" s="6" t="s">
        <v>859</v>
      </c>
      <c r="E21" s="6" t="s">
        <v>860</v>
      </c>
      <c r="F21" s="6" t="s">
        <v>281</v>
      </c>
      <c r="G21" s="6" t="s">
        <v>635</v>
      </c>
      <c r="H21" s="6" t="s">
        <v>20</v>
      </c>
      <c r="I21" s="6" t="s">
        <v>861</v>
      </c>
      <c r="J21" s="6" t="s">
        <v>13</v>
      </c>
      <c r="K21" s="6" t="s">
        <v>862</v>
      </c>
      <c r="L21" s="3"/>
    </row>
    <row r="22" customFormat="false" ht="30.75" hidden="false" customHeight="true" outlineLevel="0" collapsed="false">
      <c r="A22" s="6" t="s">
        <v>863</v>
      </c>
      <c r="B22" s="6" t="s">
        <v>864</v>
      </c>
      <c r="C22" s="6" t="s">
        <v>865</v>
      </c>
      <c r="D22" s="6" t="s">
        <v>866</v>
      </c>
      <c r="E22" s="6" t="s">
        <v>867</v>
      </c>
      <c r="F22" s="6" t="s">
        <v>635</v>
      </c>
      <c r="G22" s="6" t="s">
        <v>792</v>
      </c>
      <c r="H22" s="6" t="s">
        <v>20</v>
      </c>
      <c r="I22" s="6" t="s">
        <v>868</v>
      </c>
      <c r="J22" s="6" t="s">
        <v>794</v>
      </c>
      <c r="K22" s="6" t="s">
        <v>869</v>
      </c>
      <c r="L22" s="3"/>
    </row>
    <row r="23" customFormat="false" ht="30.75" hidden="false" customHeight="true" outlineLevel="0" collapsed="false">
      <c r="A23" s="6" t="s">
        <v>870</v>
      </c>
      <c r="B23" s="6" t="s">
        <v>871</v>
      </c>
      <c r="C23" s="6" t="s">
        <v>872</v>
      </c>
      <c r="D23" s="6" t="s">
        <v>873</v>
      </c>
      <c r="E23" s="6" t="s">
        <v>874</v>
      </c>
      <c r="F23" s="6" t="s">
        <v>554</v>
      </c>
      <c r="G23" s="6" t="s">
        <v>659</v>
      </c>
      <c r="H23" s="6" t="s">
        <v>20</v>
      </c>
      <c r="I23" s="6" t="s">
        <v>875</v>
      </c>
      <c r="J23" s="6" t="s">
        <v>794</v>
      </c>
      <c r="K23" s="6" t="s">
        <v>876</v>
      </c>
      <c r="L23" s="3"/>
    </row>
    <row r="24" customFormat="false" ht="44.25" hidden="false" customHeight="true" outlineLevel="0" collapsed="false">
      <c r="A24" s="6" t="s">
        <v>877</v>
      </c>
      <c r="B24" s="6" t="s">
        <v>878</v>
      </c>
      <c r="C24" s="6" t="s">
        <v>879</v>
      </c>
      <c r="D24" s="6" t="s">
        <v>880</v>
      </c>
      <c r="E24" s="6" t="s">
        <v>881</v>
      </c>
      <c r="F24" s="6" t="s">
        <v>554</v>
      </c>
      <c r="G24" s="6" t="s">
        <v>882</v>
      </c>
      <c r="H24" s="6" t="s">
        <v>20</v>
      </c>
      <c r="I24" s="6" t="s">
        <v>883</v>
      </c>
      <c r="J24" s="6" t="s">
        <v>794</v>
      </c>
      <c r="K24" s="6" t="s">
        <v>884</v>
      </c>
      <c r="L24" s="3"/>
    </row>
    <row r="25" customFormat="false" ht="44.25" hidden="false" customHeight="true" outlineLevel="0" collapsed="false">
      <c r="A25" s="6" t="s">
        <v>885</v>
      </c>
      <c r="B25" s="6" t="s">
        <v>886</v>
      </c>
      <c r="C25" s="6" t="s">
        <v>887</v>
      </c>
      <c r="D25" s="6" t="s">
        <v>888</v>
      </c>
      <c r="E25" s="6" t="s">
        <v>889</v>
      </c>
      <c r="F25" s="6" t="s">
        <v>258</v>
      </c>
      <c r="G25" s="6" t="s">
        <v>890</v>
      </c>
      <c r="H25" s="6" t="s">
        <v>20</v>
      </c>
      <c r="I25" s="6" t="s">
        <v>891</v>
      </c>
      <c r="J25" s="6" t="s">
        <v>13</v>
      </c>
      <c r="K25" s="6" t="s">
        <v>892</v>
      </c>
      <c r="L25" s="3"/>
    </row>
    <row r="26" customFormat="false" ht="71.25" hidden="false" customHeight="true" outlineLevel="0" collapsed="false">
      <c r="A26" s="6" t="s">
        <v>893</v>
      </c>
      <c r="B26" s="6" t="s">
        <v>894</v>
      </c>
      <c r="C26" s="6" t="s">
        <v>895</v>
      </c>
      <c r="D26" s="6" t="s">
        <v>896</v>
      </c>
      <c r="E26" s="6" t="s">
        <v>897</v>
      </c>
      <c r="F26" s="6" t="s">
        <v>281</v>
      </c>
      <c r="G26" s="6" t="s">
        <v>898</v>
      </c>
      <c r="H26" s="6" t="s">
        <v>20</v>
      </c>
      <c r="I26" s="6" t="s">
        <v>899</v>
      </c>
      <c r="J26" s="6" t="s">
        <v>794</v>
      </c>
      <c r="K26" s="6" t="s">
        <v>900</v>
      </c>
      <c r="L26" s="3"/>
    </row>
    <row r="27" customFormat="false" ht="44.25" hidden="false" customHeight="true" outlineLevel="0" collapsed="false">
      <c r="A27" s="6" t="s">
        <v>901</v>
      </c>
      <c r="B27" s="6" t="s">
        <v>902</v>
      </c>
      <c r="C27" s="6" t="s">
        <v>887</v>
      </c>
      <c r="D27" s="6" t="s">
        <v>903</v>
      </c>
      <c r="E27" s="6" t="s">
        <v>822</v>
      </c>
      <c r="F27" s="6" t="s">
        <v>258</v>
      </c>
      <c r="G27" s="6" t="s">
        <v>904</v>
      </c>
      <c r="H27" s="6" t="s">
        <v>20</v>
      </c>
      <c r="I27" s="6" t="s">
        <v>905</v>
      </c>
      <c r="J27" s="6" t="s">
        <v>13</v>
      </c>
      <c r="K27" s="6" t="s">
        <v>906</v>
      </c>
      <c r="L27" s="3"/>
    </row>
    <row r="28" customFormat="false" ht="15" hidden="false" customHeight="true" outlineLevel="0" collapsed="false">
      <c r="A28" s="6" t="s">
        <v>907</v>
      </c>
      <c r="B28" s="6"/>
      <c r="C28" s="6"/>
      <c r="D28" s="6"/>
      <c r="E28" s="6"/>
      <c r="F28" s="6"/>
      <c r="G28" s="6"/>
      <c r="H28" s="6"/>
      <c r="I28" s="6"/>
      <c r="J28" s="6"/>
      <c r="K28" s="3"/>
      <c r="L28" s="3"/>
    </row>
    <row r="29" customFormat="false" ht="15" hidden="false" customHeight="true" outlineLevel="0" collapsed="false">
      <c r="A29" s="6" t="s">
        <v>908</v>
      </c>
      <c r="B29" s="6"/>
      <c r="C29" s="6"/>
      <c r="D29" s="6"/>
      <c r="E29" s="6"/>
      <c r="F29" s="6"/>
      <c r="G29" s="6"/>
      <c r="H29" s="6"/>
      <c r="I29" s="6"/>
      <c r="J29" s="6"/>
      <c r="K29" s="3"/>
      <c r="L29" s="3"/>
    </row>
    <row r="30" customFormat="false" ht="15" hidden="false" customHeight="true" outlineLevel="0" collapsed="false">
      <c r="A30" s="6" t="s">
        <v>909</v>
      </c>
      <c r="B30" s="6"/>
      <c r="C30" s="6"/>
      <c r="D30" s="6"/>
      <c r="E30" s="6"/>
      <c r="F30" s="6"/>
      <c r="G30" s="6"/>
      <c r="H30" s="6"/>
      <c r="I30" s="6"/>
      <c r="J30" s="6"/>
      <c r="K30" s="3"/>
      <c r="L30" s="3"/>
    </row>
    <row r="31" customFormat="false" ht="15" hidden="false" customHeight="true" outlineLevel="0" collapsed="false">
      <c r="A31" s="6" t="s">
        <v>910</v>
      </c>
      <c r="B31" s="6"/>
      <c r="C31" s="6"/>
      <c r="D31" s="6"/>
      <c r="E31" s="6"/>
      <c r="F31" s="6"/>
      <c r="G31" s="6"/>
      <c r="H31" s="6"/>
      <c r="I31" s="6"/>
      <c r="J31" s="6"/>
      <c r="K31" s="3"/>
      <c r="L31" s="3"/>
    </row>
    <row r="32" customFormat="false" ht="15" hidden="false" customHeight="true" outlineLevel="0" collapsed="false">
      <c r="A32" s="6" t="s">
        <v>911</v>
      </c>
      <c r="B32" s="6"/>
      <c r="C32" s="6"/>
      <c r="D32" s="6"/>
      <c r="E32" s="6"/>
      <c r="F32" s="6"/>
      <c r="G32" s="6"/>
      <c r="H32" s="6"/>
      <c r="I32" s="6"/>
      <c r="J32" s="6"/>
      <c r="K32" s="3"/>
      <c r="L32" s="3"/>
    </row>
    <row r="33" customFormat="false" ht="15" hidden="false" customHeight="true" outlineLevel="0" collapsed="false">
      <c r="A33" s="6" t="s">
        <v>912</v>
      </c>
      <c r="B33" s="6"/>
      <c r="C33" s="6"/>
      <c r="D33" s="6"/>
      <c r="E33" s="6"/>
      <c r="F33" s="6"/>
      <c r="G33" s="6"/>
      <c r="H33" s="6"/>
      <c r="I33" s="6"/>
      <c r="J33" s="6"/>
      <c r="K33" s="3"/>
      <c r="L33" s="3"/>
    </row>
    <row r="34" customFormat="false" ht="15" hidden="false" customHeight="true" outlineLevel="0" collapsed="false">
      <c r="A34" s="6" t="s">
        <v>913</v>
      </c>
      <c r="B34" s="6"/>
      <c r="C34" s="6"/>
      <c r="D34" s="6"/>
      <c r="E34" s="6"/>
      <c r="F34" s="6"/>
      <c r="G34" s="6"/>
      <c r="H34" s="6"/>
      <c r="I34" s="6"/>
      <c r="J34" s="6"/>
      <c r="K34" s="3"/>
      <c r="L34" s="3"/>
    </row>
    <row r="35" customFormat="false" ht="15" hidden="false" customHeight="true" outlineLevel="0" collapsed="false">
      <c r="A35" s="6" t="s">
        <v>914</v>
      </c>
      <c r="B35" s="6"/>
      <c r="C35" s="6"/>
      <c r="D35" s="6"/>
      <c r="E35" s="6"/>
      <c r="F35" s="6"/>
      <c r="G35" s="6"/>
      <c r="H35" s="6"/>
      <c r="I35" s="6"/>
      <c r="J35" s="6"/>
      <c r="K35" s="3"/>
      <c r="L35" s="3"/>
    </row>
    <row r="36" customFormat="false" ht="15" hidden="false" customHeight="true" outlineLevel="0" collapsed="false">
      <c r="A36" s="6" t="s">
        <v>915</v>
      </c>
      <c r="B36" s="6"/>
      <c r="C36" s="6"/>
      <c r="D36" s="6"/>
      <c r="E36" s="6"/>
      <c r="F36" s="6"/>
      <c r="G36" s="6"/>
      <c r="H36" s="6"/>
      <c r="I36" s="6"/>
      <c r="J36" s="6"/>
      <c r="K36" s="3"/>
      <c r="L36" s="3"/>
    </row>
    <row r="37" customFormat="false" ht="15" hidden="false" customHeight="true" outlineLevel="0" collapsed="false">
      <c r="A37" s="6" t="s">
        <v>916</v>
      </c>
      <c r="B37" s="6"/>
      <c r="C37" s="6"/>
      <c r="D37" s="6"/>
      <c r="E37" s="6"/>
      <c r="F37" s="6"/>
      <c r="G37" s="6"/>
      <c r="H37" s="6"/>
      <c r="I37" s="6"/>
      <c r="J37" s="6"/>
      <c r="K37" s="3"/>
      <c r="L37" s="3"/>
    </row>
    <row r="38" customFormat="false" ht="15" hidden="false" customHeight="true" outlineLevel="0" collapsed="false">
      <c r="A38" s="6" t="s">
        <v>917</v>
      </c>
      <c r="B38" s="6"/>
      <c r="C38" s="6"/>
      <c r="D38" s="6"/>
      <c r="E38" s="6"/>
      <c r="F38" s="6"/>
      <c r="G38" s="6"/>
      <c r="H38" s="6"/>
      <c r="I38" s="6"/>
      <c r="J38" s="6"/>
      <c r="K38" s="3"/>
      <c r="L38" s="3"/>
    </row>
    <row r="39" customFormat="false" ht="15" hidden="false" customHeight="true" outlineLevel="0" collapsed="false">
      <c r="A39" s="6" t="s">
        <v>918</v>
      </c>
      <c r="B39" s="6"/>
      <c r="C39" s="6"/>
      <c r="D39" s="6"/>
      <c r="E39" s="6"/>
      <c r="F39" s="6"/>
      <c r="G39" s="6"/>
      <c r="H39" s="6"/>
      <c r="I39" s="6"/>
      <c r="J39" s="6"/>
      <c r="K39" s="3"/>
      <c r="L39" s="3"/>
    </row>
    <row r="40" customFormat="false" ht="15" hidden="false" customHeight="true" outlineLevel="0" collapsed="false">
      <c r="A40" s="6" t="s">
        <v>919</v>
      </c>
      <c r="B40" s="6"/>
      <c r="C40" s="6"/>
      <c r="D40" s="6"/>
      <c r="E40" s="6"/>
      <c r="F40" s="6"/>
      <c r="G40" s="6"/>
      <c r="H40" s="6"/>
      <c r="I40" s="6"/>
      <c r="J40" s="6"/>
      <c r="K40" s="3"/>
      <c r="L40" s="3"/>
    </row>
    <row r="41" customFormat="false" ht="15" hidden="false" customHeight="true" outlineLevel="0" collapsed="false">
      <c r="A41" s="6" t="s">
        <v>920</v>
      </c>
      <c r="B41" s="6"/>
      <c r="C41" s="6"/>
      <c r="D41" s="6"/>
      <c r="E41" s="6"/>
      <c r="F41" s="6"/>
      <c r="G41" s="6"/>
      <c r="H41" s="6"/>
      <c r="I41" s="6"/>
      <c r="J41" s="6"/>
      <c r="K41" s="3"/>
      <c r="L41" s="3"/>
    </row>
    <row r="42" customFormat="false" ht="15" hidden="false" customHeight="true" outlineLevel="0" collapsed="false">
      <c r="A42" s="6" t="s">
        <v>921</v>
      </c>
      <c r="B42" s="6"/>
      <c r="C42" s="6"/>
      <c r="D42" s="6"/>
      <c r="E42" s="6"/>
      <c r="F42" s="6"/>
      <c r="G42" s="6"/>
      <c r="H42" s="6"/>
      <c r="I42" s="6"/>
      <c r="J42" s="6"/>
      <c r="K42" s="3"/>
      <c r="L42" s="3"/>
    </row>
    <row r="43" customFormat="false" ht="15" hidden="false" customHeight="true" outlineLevel="0" collapsed="false">
      <c r="A43" s="6" t="s">
        <v>922</v>
      </c>
      <c r="B43" s="6"/>
      <c r="C43" s="6"/>
      <c r="D43" s="6"/>
      <c r="E43" s="6"/>
      <c r="F43" s="6"/>
      <c r="G43" s="6"/>
      <c r="H43" s="6"/>
      <c r="I43" s="6"/>
      <c r="J43" s="6"/>
      <c r="K43" s="3"/>
      <c r="L43" s="3"/>
    </row>
    <row r="44" customFormat="false" ht="15" hidden="false" customHeight="true" outlineLevel="0" collapsed="false">
      <c r="A44" s="6" t="s">
        <v>923</v>
      </c>
      <c r="B44" s="6"/>
      <c r="C44" s="6"/>
      <c r="D44" s="6"/>
      <c r="E44" s="6"/>
      <c r="F44" s="6"/>
      <c r="G44" s="6"/>
      <c r="H44" s="6"/>
      <c r="I44" s="6"/>
      <c r="J44" s="6"/>
      <c r="K44" s="3"/>
      <c r="L44" s="3"/>
    </row>
    <row r="45" customFormat="false" ht="15" hidden="false" customHeight="true" outlineLevel="0" collapsed="false">
      <c r="A45" s="6" t="s">
        <v>924</v>
      </c>
      <c r="B45" s="6"/>
      <c r="C45" s="6"/>
      <c r="D45" s="6"/>
      <c r="E45" s="6"/>
      <c r="F45" s="6"/>
      <c r="G45" s="6"/>
      <c r="H45" s="6"/>
      <c r="I45" s="6"/>
      <c r="J45" s="6"/>
      <c r="K45" s="3"/>
      <c r="L45" s="3"/>
    </row>
    <row r="46" customFormat="false" ht="15" hidden="false" customHeight="true" outlineLevel="0" collapsed="false">
      <c r="A46" s="6" t="s">
        <v>925</v>
      </c>
      <c r="B46" s="6"/>
      <c r="C46" s="6"/>
      <c r="D46" s="6"/>
      <c r="E46" s="6"/>
      <c r="F46" s="6"/>
      <c r="G46" s="6"/>
      <c r="H46" s="6"/>
      <c r="I46" s="6"/>
      <c r="J46" s="6"/>
      <c r="K46" s="3"/>
      <c r="L46" s="3"/>
    </row>
    <row r="47" customFormat="false" ht="15" hidden="false" customHeight="true" outlineLevel="0" collapsed="false">
      <c r="A47" s="6" t="s">
        <v>926</v>
      </c>
      <c r="B47" s="6"/>
      <c r="C47" s="6"/>
      <c r="D47" s="6"/>
      <c r="E47" s="6"/>
      <c r="F47" s="6"/>
      <c r="G47" s="6"/>
      <c r="H47" s="6"/>
      <c r="I47" s="6"/>
      <c r="J47" s="6"/>
      <c r="K47" s="3"/>
      <c r="L47" s="3"/>
    </row>
    <row r="48" customFormat="false" ht="15" hidden="false" customHeight="true" outlineLevel="0" collapsed="false">
      <c r="A48" s="6" t="s">
        <v>927</v>
      </c>
      <c r="B48" s="6"/>
      <c r="C48" s="6"/>
      <c r="D48" s="6"/>
      <c r="E48" s="6"/>
      <c r="F48" s="6"/>
      <c r="G48" s="6"/>
      <c r="H48" s="6"/>
      <c r="I48" s="6"/>
      <c r="J48" s="6"/>
      <c r="K48" s="3"/>
      <c r="L48" s="3"/>
    </row>
    <row r="49" customFormat="false" ht="15" hidden="false" customHeight="true" outlineLevel="0" collapsed="false">
      <c r="A49" s="6" t="s">
        <v>928</v>
      </c>
      <c r="B49" s="6"/>
      <c r="C49" s="6"/>
      <c r="D49" s="6"/>
      <c r="E49" s="6"/>
      <c r="F49" s="6"/>
      <c r="G49" s="6"/>
      <c r="H49" s="6"/>
      <c r="I49" s="6"/>
      <c r="J49" s="6"/>
      <c r="K49" s="3"/>
      <c r="L49" s="3"/>
    </row>
    <row r="50" customFormat="false" ht="15" hidden="false" customHeight="true" outlineLevel="0" collapsed="false">
      <c r="A50" s="6" t="s">
        <v>929</v>
      </c>
      <c r="B50" s="6"/>
      <c r="C50" s="6"/>
      <c r="D50" s="6"/>
      <c r="E50" s="6"/>
      <c r="F50" s="6"/>
      <c r="G50" s="6"/>
      <c r="H50" s="6"/>
      <c r="I50" s="6"/>
      <c r="J50" s="6"/>
      <c r="K50" s="3"/>
      <c r="L50" s="3"/>
    </row>
    <row r="51" customFormat="false" ht="15" hidden="false" customHeight="true" outlineLevel="0" collapsed="false">
      <c r="A51" s="6" t="s">
        <v>930</v>
      </c>
      <c r="B51" s="6"/>
      <c r="C51" s="6"/>
      <c r="D51" s="6"/>
      <c r="E51" s="6"/>
      <c r="F51" s="6"/>
      <c r="G51" s="6"/>
      <c r="H51" s="6"/>
      <c r="I51" s="6"/>
      <c r="J51" s="6"/>
      <c r="K51" s="3"/>
      <c r="L51" s="3"/>
    </row>
    <row r="52" customFormat="false" ht="15" hidden="false" customHeight="true" outlineLevel="0" collapsed="false">
      <c r="A52" s="6" t="s">
        <v>931</v>
      </c>
      <c r="B52" s="6"/>
      <c r="C52" s="6"/>
      <c r="D52" s="6"/>
      <c r="E52" s="6"/>
      <c r="F52" s="6"/>
      <c r="G52" s="6"/>
      <c r="H52" s="6"/>
      <c r="I52" s="6"/>
      <c r="J52" s="6"/>
      <c r="K52" s="3"/>
      <c r="L52" s="3"/>
    </row>
    <row r="53" customFormat="false" ht="15" hidden="false" customHeight="true" outlineLevel="0" collapsed="false">
      <c r="A53" s="6" t="s">
        <v>932</v>
      </c>
      <c r="B53" s="6"/>
      <c r="C53" s="6"/>
      <c r="D53" s="6"/>
      <c r="E53" s="6"/>
      <c r="F53" s="6"/>
      <c r="G53" s="6"/>
      <c r="H53" s="6"/>
      <c r="I53" s="6"/>
      <c r="J53" s="6"/>
      <c r="K53" s="3"/>
      <c r="L53" s="3"/>
    </row>
    <row r="54" customFormat="false" ht="15" hidden="false" customHeight="true" outlineLevel="0" collapsed="false">
      <c r="A54" s="6" t="s">
        <v>933</v>
      </c>
      <c r="B54" s="6"/>
      <c r="C54" s="6"/>
      <c r="D54" s="6"/>
      <c r="E54" s="6"/>
      <c r="F54" s="6"/>
      <c r="G54" s="6"/>
      <c r="H54" s="6"/>
      <c r="I54" s="6"/>
      <c r="J54" s="6"/>
      <c r="K54" s="3"/>
      <c r="L54" s="3"/>
    </row>
    <row r="55" customFormat="false" ht="15" hidden="false" customHeight="true" outlineLevel="0" collapsed="false">
      <c r="A55" s="6" t="s">
        <v>934</v>
      </c>
      <c r="B55" s="6"/>
      <c r="C55" s="6"/>
      <c r="D55" s="6"/>
      <c r="E55" s="6"/>
      <c r="F55" s="6"/>
      <c r="G55" s="6"/>
      <c r="H55" s="6"/>
      <c r="I55" s="6"/>
      <c r="J55" s="6"/>
      <c r="K55" s="3"/>
      <c r="L55" s="3"/>
    </row>
    <row r="56" customFormat="false" ht="15" hidden="false" customHeight="true" outlineLevel="0" collapsed="false">
      <c r="A56" s="6" t="s">
        <v>935</v>
      </c>
      <c r="B56" s="6"/>
      <c r="C56" s="6"/>
      <c r="D56" s="6"/>
      <c r="E56" s="6"/>
      <c r="F56" s="6"/>
      <c r="G56" s="6"/>
      <c r="H56" s="6"/>
      <c r="I56" s="6"/>
      <c r="J56" s="6"/>
      <c r="K56" s="3"/>
      <c r="L56" s="3"/>
    </row>
    <row r="57" customFormat="false" ht="15" hidden="false" customHeight="true" outlineLevel="0" collapsed="false">
      <c r="A57" s="6" t="s">
        <v>936</v>
      </c>
      <c r="B57" s="6"/>
      <c r="C57" s="6"/>
      <c r="D57" s="6"/>
      <c r="E57" s="6"/>
      <c r="F57" s="6"/>
      <c r="G57" s="6"/>
      <c r="H57" s="6"/>
      <c r="I57" s="6"/>
      <c r="J57" s="6"/>
      <c r="K57" s="3"/>
      <c r="L57" s="3"/>
    </row>
    <row r="58" customFormat="false" ht="15" hidden="false" customHeight="true" outlineLevel="0" collapsed="false">
      <c r="A58" s="6" t="s">
        <v>937</v>
      </c>
      <c r="B58" s="6"/>
      <c r="C58" s="6"/>
      <c r="D58" s="6"/>
      <c r="E58" s="6"/>
      <c r="F58" s="6"/>
      <c r="G58" s="6"/>
      <c r="H58" s="6"/>
      <c r="I58" s="6"/>
      <c r="J58" s="6"/>
      <c r="K58" s="3"/>
      <c r="L58" s="3"/>
    </row>
    <row r="59" customFormat="false" ht="15" hidden="false" customHeight="true" outlineLevel="0" collapsed="false">
      <c r="A59" s="6" t="s">
        <v>938</v>
      </c>
      <c r="B59" s="6"/>
      <c r="C59" s="6"/>
      <c r="D59" s="6"/>
      <c r="E59" s="6"/>
      <c r="F59" s="6"/>
      <c r="G59" s="6"/>
      <c r="H59" s="6"/>
      <c r="I59" s="6"/>
      <c r="J59" s="6"/>
      <c r="K59" s="3"/>
      <c r="L59" s="3"/>
    </row>
    <row r="60" customFormat="false" ht="15" hidden="false" customHeight="true" outlineLevel="0" collapsed="false">
      <c r="A60" s="6" t="s">
        <v>939</v>
      </c>
      <c r="B60" s="6"/>
      <c r="C60" s="6"/>
      <c r="D60" s="6"/>
      <c r="E60" s="6"/>
      <c r="F60" s="6"/>
      <c r="G60" s="6"/>
      <c r="H60" s="6"/>
      <c r="I60" s="6"/>
      <c r="J60" s="6"/>
      <c r="K60" s="3"/>
      <c r="L60" s="3"/>
    </row>
    <row r="61" customFormat="false" ht="15" hidden="false" customHeight="true" outlineLevel="0" collapsed="false">
      <c r="A61" s="6" t="s">
        <v>940</v>
      </c>
      <c r="B61" s="6"/>
      <c r="C61" s="6"/>
      <c r="D61" s="6"/>
      <c r="E61" s="6"/>
      <c r="F61" s="6"/>
      <c r="G61" s="6"/>
      <c r="H61" s="6"/>
      <c r="I61" s="6"/>
      <c r="J61" s="6"/>
      <c r="K61" s="3"/>
      <c r="L61" s="3"/>
    </row>
    <row r="62" customFormat="false" ht="15" hidden="false" customHeight="true" outlineLevel="0" collapsed="false">
      <c r="A62" s="6" t="s">
        <v>941</v>
      </c>
      <c r="B62" s="6"/>
      <c r="C62" s="6"/>
      <c r="D62" s="6"/>
      <c r="E62" s="6"/>
      <c r="F62" s="6"/>
      <c r="G62" s="6"/>
      <c r="H62" s="6"/>
      <c r="I62" s="6"/>
      <c r="J62" s="6"/>
      <c r="K62" s="3"/>
      <c r="L62" s="3"/>
    </row>
    <row r="63" customFormat="false" ht="15" hidden="false" customHeight="true" outlineLevel="0" collapsed="false">
      <c r="A63" s="6" t="s">
        <v>942</v>
      </c>
      <c r="B63" s="6"/>
      <c r="C63" s="6"/>
      <c r="D63" s="6"/>
      <c r="E63" s="6"/>
      <c r="F63" s="6"/>
      <c r="G63" s="6"/>
      <c r="H63" s="6"/>
      <c r="I63" s="6"/>
      <c r="J63" s="6"/>
      <c r="K63" s="3"/>
      <c r="L63" s="3"/>
    </row>
    <row r="64" customFormat="false" ht="15" hidden="false" customHeight="true" outlineLevel="0" collapsed="false">
      <c r="A64" s="6" t="s">
        <v>943</v>
      </c>
      <c r="B64" s="6"/>
      <c r="C64" s="6"/>
      <c r="D64" s="6"/>
      <c r="E64" s="6"/>
      <c r="F64" s="6"/>
      <c r="G64" s="6"/>
      <c r="H64" s="6"/>
      <c r="I64" s="6"/>
      <c r="J64" s="6"/>
      <c r="K64" s="3"/>
      <c r="L64" s="3"/>
    </row>
    <row r="65" customFormat="false" ht="15" hidden="false" customHeight="true" outlineLevel="0" collapsed="false">
      <c r="A65" s="6" t="s">
        <v>944</v>
      </c>
      <c r="B65" s="6"/>
      <c r="C65" s="6"/>
      <c r="D65" s="6"/>
      <c r="E65" s="6"/>
      <c r="F65" s="6"/>
      <c r="G65" s="6"/>
      <c r="H65" s="6"/>
      <c r="I65" s="6"/>
      <c r="J65" s="6"/>
      <c r="K65" s="3"/>
      <c r="L65" s="3"/>
    </row>
    <row r="66" customFormat="false" ht="15" hidden="false" customHeight="true" outlineLevel="0" collapsed="false">
      <c r="A66" s="6" t="s">
        <v>945</v>
      </c>
      <c r="B66" s="6"/>
      <c r="C66" s="6"/>
      <c r="D66" s="6"/>
      <c r="E66" s="6"/>
      <c r="F66" s="6"/>
      <c r="G66" s="6"/>
      <c r="H66" s="6"/>
      <c r="I66" s="6"/>
      <c r="J66" s="6"/>
      <c r="K66" s="3"/>
      <c r="L66" s="3"/>
    </row>
    <row r="67" customFormat="false" ht="15" hidden="false" customHeight="true" outlineLevel="0" collapsed="false">
      <c r="A67" s="6" t="s">
        <v>946</v>
      </c>
      <c r="B67" s="6"/>
      <c r="C67" s="6"/>
      <c r="D67" s="6"/>
      <c r="E67" s="6"/>
      <c r="F67" s="6"/>
      <c r="G67" s="6"/>
      <c r="H67" s="6"/>
      <c r="I67" s="6"/>
      <c r="J67" s="6"/>
      <c r="K67" s="3"/>
      <c r="L67" s="3"/>
    </row>
    <row r="68" customFormat="false" ht="15" hidden="false" customHeight="true" outlineLevel="0" collapsed="false">
      <c r="A68" s="6" t="s">
        <v>947</v>
      </c>
      <c r="B68" s="6"/>
      <c r="C68" s="6"/>
      <c r="D68" s="6"/>
      <c r="E68" s="6"/>
      <c r="F68" s="6"/>
      <c r="G68" s="6"/>
      <c r="H68" s="6"/>
      <c r="I68" s="6"/>
      <c r="J68" s="6"/>
      <c r="K68" s="3"/>
      <c r="L68" s="3"/>
    </row>
    <row r="69" customFormat="false" ht="15" hidden="false" customHeight="true" outlineLevel="0" collapsed="false">
      <c r="A69" s="6" t="s">
        <v>948</v>
      </c>
      <c r="B69" s="6"/>
      <c r="C69" s="6"/>
      <c r="D69" s="6"/>
      <c r="E69" s="6"/>
      <c r="F69" s="6"/>
      <c r="G69" s="6"/>
      <c r="H69" s="6"/>
      <c r="I69" s="6"/>
      <c r="J69" s="6"/>
      <c r="K69" s="3"/>
      <c r="L69" s="3"/>
    </row>
    <row r="70" customFormat="false" ht="15" hidden="false" customHeight="true" outlineLevel="0" collapsed="false">
      <c r="A70" s="6" t="s">
        <v>949</v>
      </c>
      <c r="B70" s="6"/>
      <c r="C70" s="6"/>
      <c r="D70" s="6"/>
      <c r="E70" s="6"/>
      <c r="F70" s="6"/>
      <c r="G70" s="6"/>
      <c r="H70" s="6"/>
      <c r="I70" s="6"/>
      <c r="J70" s="6"/>
      <c r="K70" s="3"/>
      <c r="L70" s="3"/>
    </row>
    <row r="71" customFormat="false" ht="15" hidden="false" customHeight="true" outlineLevel="0" collapsed="false">
      <c r="A71" s="6" t="s">
        <v>950</v>
      </c>
      <c r="B71" s="6"/>
      <c r="C71" s="6"/>
      <c r="D71" s="6"/>
      <c r="E71" s="6"/>
      <c r="F71" s="6"/>
      <c r="G71" s="6"/>
      <c r="H71" s="6"/>
      <c r="I71" s="6"/>
      <c r="J71" s="6"/>
      <c r="K71" s="3"/>
      <c r="L71" s="3"/>
    </row>
    <row r="72" customFormat="false" ht="15" hidden="false" customHeight="true" outlineLevel="0" collapsed="false">
      <c r="A72" s="6" t="s">
        <v>951</v>
      </c>
      <c r="B72" s="6"/>
      <c r="C72" s="6"/>
      <c r="D72" s="6"/>
      <c r="E72" s="6"/>
      <c r="F72" s="6"/>
      <c r="G72" s="6"/>
      <c r="H72" s="6"/>
      <c r="I72" s="6"/>
      <c r="J72" s="6"/>
      <c r="K72" s="3"/>
      <c r="L72" s="3"/>
    </row>
    <row r="73" customFormat="false" ht="15" hidden="false" customHeight="true" outlineLevel="0" collapsed="false">
      <c r="A73" s="6" t="s">
        <v>952</v>
      </c>
      <c r="B73" s="6"/>
      <c r="C73" s="6"/>
      <c r="D73" s="6"/>
      <c r="E73" s="6"/>
      <c r="F73" s="6"/>
      <c r="G73" s="6"/>
      <c r="H73" s="6"/>
      <c r="I73" s="6"/>
      <c r="J73" s="6"/>
      <c r="K73" s="3"/>
      <c r="L73" s="3"/>
    </row>
    <row r="74" customFormat="false" ht="15" hidden="false" customHeight="true" outlineLevel="0" collapsed="false">
      <c r="A74" s="6" t="s">
        <v>953</v>
      </c>
      <c r="B74" s="6"/>
      <c r="C74" s="6"/>
      <c r="D74" s="6"/>
      <c r="E74" s="6"/>
      <c r="F74" s="6"/>
      <c r="G74" s="6"/>
      <c r="H74" s="6"/>
      <c r="I74" s="6"/>
      <c r="J74" s="6"/>
      <c r="K74" s="3"/>
      <c r="L74" s="3"/>
    </row>
    <row r="75" customFormat="false" ht="15" hidden="false" customHeight="true" outlineLevel="0" collapsed="false">
      <c r="A75" s="6" t="s">
        <v>954</v>
      </c>
      <c r="B75" s="6"/>
      <c r="C75" s="6"/>
      <c r="D75" s="6"/>
      <c r="E75" s="6"/>
      <c r="F75" s="6"/>
      <c r="G75" s="6"/>
      <c r="H75" s="6"/>
      <c r="I75" s="6"/>
      <c r="J75" s="6"/>
      <c r="K75" s="3"/>
      <c r="L75" s="3"/>
    </row>
    <row r="76" customFormat="false" ht="15" hidden="false" customHeight="true" outlineLevel="0" collapsed="false">
      <c r="A76" s="6" t="s">
        <v>955</v>
      </c>
      <c r="B76" s="6"/>
      <c r="C76" s="6"/>
      <c r="D76" s="6"/>
      <c r="E76" s="6"/>
      <c r="F76" s="6"/>
      <c r="G76" s="6"/>
      <c r="H76" s="6"/>
      <c r="I76" s="6"/>
      <c r="J76" s="6"/>
      <c r="K76" s="3"/>
      <c r="L76" s="3"/>
    </row>
    <row r="77" customFormat="false" ht="15" hidden="false" customHeight="true" outlineLevel="0" collapsed="false">
      <c r="A77" s="6" t="s">
        <v>956</v>
      </c>
      <c r="B77" s="6"/>
      <c r="C77" s="6"/>
      <c r="D77" s="6"/>
      <c r="E77" s="6"/>
      <c r="F77" s="6"/>
      <c r="G77" s="6"/>
      <c r="H77" s="6"/>
      <c r="I77" s="6"/>
      <c r="J77" s="6"/>
      <c r="K77" s="3"/>
      <c r="L77" s="3"/>
    </row>
    <row r="78" customFormat="false" ht="15" hidden="false" customHeight="true" outlineLevel="0" collapsed="false">
      <c r="A78" s="6" t="s">
        <v>957</v>
      </c>
      <c r="B78" s="6"/>
      <c r="C78" s="6"/>
      <c r="D78" s="6"/>
      <c r="E78" s="6"/>
      <c r="F78" s="6"/>
      <c r="G78" s="6"/>
      <c r="H78" s="6"/>
      <c r="I78" s="6"/>
      <c r="J78" s="6"/>
      <c r="K78" s="3"/>
      <c r="L78" s="3"/>
    </row>
    <row r="79" customFormat="false" ht="15" hidden="false" customHeight="true" outlineLevel="0" collapsed="false">
      <c r="A79" s="6" t="s">
        <v>958</v>
      </c>
      <c r="B79" s="6"/>
      <c r="C79" s="6"/>
      <c r="D79" s="6"/>
      <c r="E79" s="6"/>
      <c r="F79" s="6"/>
      <c r="G79" s="6"/>
      <c r="H79" s="6"/>
      <c r="I79" s="6"/>
      <c r="J79" s="6"/>
      <c r="K79" s="3"/>
      <c r="L79" s="3"/>
    </row>
    <row r="80" customFormat="false" ht="15" hidden="false" customHeight="true" outlineLevel="0" collapsed="false">
      <c r="A80" s="6" t="s">
        <v>959</v>
      </c>
      <c r="B80" s="6"/>
      <c r="C80" s="6"/>
      <c r="D80" s="6"/>
      <c r="E80" s="6"/>
      <c r="F80" s="6"/>
      <c r="G80" s="6"/>
      <c r="H80" s="6"/>
      <c r="I80" s="6"/>
      <c r="J80" s="6"/>
      <c r="K80" s="3"/>
      <c r="L80" s="3"/>
    </row>
    <row r="81" customFormat="false" ht="15" hidden="false" customHeight="true" outlineLevel="0" collapsed="false">
      <c r="A81" s="6" t="s">
        <v>960</v>
      </c>
      <c r="B81" s="6"/>
      <c r="C81" s="6"/>
      <c r="D81" s="6"/>
      <c r="E81" s="6"/>
      <c r="F81" s="6"/>
      <c r="G81" s="6"/>
      <c r="H81" s="6"/>
      <c r="I81" s="6"/>
      <c r="J81" s="6"/>
      <c r="K81" s="3"/>
      <c r="L81" s="3"/>
    </row>
    <row r="82" customFormat="false" ht="15" hidden="false" customHeight="true" outlineLevel="0" collapsed="false">
      <c r="A82" s="6" t="s">
        <v>961</v>
      </c>
      <c r="B82" s="6"/>
      <c r="C82" s="6"/>
      <c r="D82" s="6"/>
      <c r="E82" s="6"/>
      <c r="F82" s="6"/>
      <c r="G82" s="6"/>
      <c r="H82" s="6"/>
      <c r="I82" s="6"/>
      <c r="J82" s="6"/>
      <c r="K82" s="3"/>
      <c r="L82" s="3"/>
    </row>
    <row r="83" customFormat="false" ht="15" hidden="false" customHeight="true" outlineLevel="0" collapsed="false">
      <c r="A83" s="6" t="s">
        <v>962</v>
      </c>
      <c r="B83" s="6"/>
      <c r="C83" s="6"/>
      <c r="D83" s="6"/>
      <c r="E83" s="6"/>
      <c r="F83" s="6"/>
      <c r="G83" s="6"/>
      <c r="H83" s="6"/>
      <c r="I83" s="6"/>
      <c r="J83" s="6"/>
      <c r="K83" s="3"/>
      <c r="L83" s="3"/>
    </row>
    <row r="84" customFormat="false" ht="15" hidden="false" customHeight="true" outlineLevel="0" collapsed="false">
      <c r="A84" s="6" t="s">
        <v>963</v>
      </c>
      <c r="B84" s="6"/>
      <c r="C84" s="6"/>
      <c r="D84" s="6"/>
      <c r="E84" s="6"/>
      <c r="F84" s="6"/>
      <c r="G84" s="6"/>
      <c r="H84" s="6"/>
      <c r="I84" s="6"/>
      <c r="J84" s="6"/>
      <c r="K84" s="3"/>
      <c r="L84" s="3"/>
    </row>
    <row r="85" customFormat="false" ht="15" hidden="false" customHeight="true" outlineLevel="0" collapsed="false">
      <c r="A85" s="6" t="s">
        <v>964</v>
      </c>
      <c r="B85" s="6"/>
      <c r="C85" s="6"/>
      <c r="D85" s="6"/>
      <c r="E85" s="6"/>
      <c r="F85" s="6"/>
      <c r="G85" s="6"/>
      <c r="H85" s="6"/>
      <c r="I85" s="6"/>
      <c r="J85" s="6"/>
      <c r="K85" s="3"/>
      <c r="L85" s="3"/>
    </row>
    <row r="86" customFormat="false" ht="15" hidden="false" customHeight="true" outlineLevel="0" collapsed="false">
      <c r="A86" s="6" t="s">
        <v>965</v>
      </c>
      <c r="B86" s="6"/>
      <c r="C86" s="6"/>
      <c r="D86" s="6"/>
      <c r="E86" s="6"/>
      <c r="F86" s="6"/>
      <c r="G86" s="6"/>
      <c r="H86" s="6"/>
      <c r="I86" s="6"/>
      <c r="J86" s="6"/>
      <c r="K86" s="3"/>
      <c r="L86" s="3"/>
    </row>
    <row r="87" customFormat="false" ht="15" hidden="false" customHeight="true" outlineLevel="0" collapsed="false">
      <c r="A87" s="6" t="s">
        <v>966</v>
      </c>
      <c r="B87" s="6"/>
      <c r="C87" s="6"/>
      <c r="D87" s="6"/>
      <c r="E87" s="6"/>
      <c r="F87" s="6"/>
      <c r="G87" s="6"/>
      <c r="H87" s="6"/>
      <c r="I87" s="6"/>
      <c r="J87" s="6"/>
      <c r="K87" s="3"/>
      <c r="L87" s="3"/>
    </row>
    <row r="88" customFormat="false" ht="15" hidden="false" customHeight="true" outlineLevel="0" collapsed="false">
      <c r="A88" s="6" t="s">
        <v>967</v>
      </c>
      <c r="B88" s="6"/>
      <c r="C88" s="6"/>
      <c r="D88" s="6"/>
      <c r="E88" s="6"/>
      <c r="F88" s="6"/>
      <c r="G88" s="6"/>
      <c r="H88" s="6"/>
      <c r="I88" s="6"/>
      <c r="J88" s="6"/>
      <c r="K88" s="3"/>
      <c r="L88" s="3"/>
    </row>
    <row r="89" customFormat="false" ht="15" hidden="false" customHeight="true" outlineLevel="0" collapsed="false">
      <c r="A89" s="6" t="s">
        <v>968</v>
      </c>
      <c r="B89" s="6"/>
      <c r="C89" s="6"/>
      <c r="D89" s="6"/>
      <c r="E89" s="6"/>
      <c r="F89" s="6"/>
      <c r="G89" s="6"/>
      <c r="H89" s="6"/>
      <c r="I89" s="6"/>
      <c r="J89" s="6"/>
      <c r="K89" s="3"/>
      <c r="L89" s="3"/>
    </row>
    <row r="90" customFormat="false" ht="15" hidden="false" customHeight="true" outlineLevel="0" collapsed="false">
      <c r="A90" s="6" t="s">
        <v>969</v>
      </c>
      <c r="B90" s="6"/>
      <c r="C90" s="6"/>
      <c r="D90" s="6"/>
      <c r="E90" s="6"/>
      <c r="F90" s="6"/>
      <c r="G90" s="6"/>
      <c r="H90" s="6"/>
      <c r="I90" s="6"/>
      <c r="J90" s="6"/>
      <c r="K90" s="3"/>
      <c r="L90" s="3"/>
    </row>
    <row r="91" customFormat="false" ht="15" hidden="false" customHeight="true" outlineLevel="0" collapsed="false">
      <c r="A91" s="6" t="s">
        <v>970</v>
      </c>
      <c r="B91" s="6"/>
      <c r="C91" s="6"/>
      <c r="D91" s="6"/>
      <c r="E91" s="6"/>
      <c r="F91" s="6"/>
      <c r="G91" s="6"/>
      <c r="H91" s="6"/>
      <c r="I91" s="6"/>
      <c r="J91" s="6"/>
      <c r="K91" s="3"/>
      <c r="L91" s="3"/>
    </row>
    <row r="92" customFormat="false" ht="15" hidden="false" customHeight="true" outlineLevel="0" collapsed="false">
      <c r="A92" s="6" t="s">
        <v>971</v>
      </c>
      <c r="B92" s="6"/>
      <c r="C92" s="6"/>
      <c r="D92" s="6"/>
      <c r="E92" s="6"/>
      <c r="F92" s="6"/>
      <c r="G92" s="6"/>
      <c r="H92" s="6"/>
      <c r="I92" s="6"/>
      <c r="J92" s="6"/>
      <c r="K92" s="3"/>
      <c r="L92" s="3"/>
    </row>
    <row r="93" customFormat="false" ht="15" hidden="false" customHeight="true" outlineLevel="0" collapsed="false">
      <c r="A93" s="6" t="s">
        <v>972</v>
      </c>
      <c r="B93" s="6"/>
      <c r="C93" s="6"/>
      <c r="D93" s="6"/>
      <c r="E93" s="6"/>
      <c r="F93" s="6"/>
      <c r="G93" s="6"/>
      <c r="H93" s="6"/>
      <c r="I93" s="6"/>
      <c r="J93" s="6"/>
      <c r="K93" s="3"/>
      <c r="L93" s="3"/>
    </row>
    <row r="94" customFormat="false" ht="15" hidden="false" customHeight="true" outlineLevel="0" collapsed="false">
      <c r="A94" s="6" t="s">
        <v>973</v>
      </c>
      <c r="B94" s="6"/>
      <c r="C94" s="6"/>
      <c r="D94" s="6"/>
      <c r="E94" s="6"/>
      <c r="F94" s="6"/>
      <c r="G94" s="6"/>
      <c r="H94" s="6"/>
      <c r="I94" s="6"/>
      <c r="J94" s="6"/>
      <c r="K94" s="3"/>
      <c r="L94" s="3"/>
    </row>
    <row r="95" customFormat="false" ht="15" hidden="false" customHeight="true" outlineLevel="0" collapsed="false">
      <c r="A95" s="6" t="s">
        <v>974</v>
      </c>
      <c r="B95" s="6"/>
      <c r="C95" s="6"/>
      <c r="D95" s="6"/>
      <c r="E95" s="6"/>
      <c r="F95" s="6"/>
      <c r="G95" s="6"/>
      <c r="H95" s="6"/>
      <c r="I95" s="6"/>
      <c r="J95" s="6"/>
      <c r="K95" s="3"/>
      <c r="L95" s="3"/>
    </row>
    <row r="96" customFormat="false" ht="15" hidden="false" customHeight="true" outlineLevel="0" collapsed="false">
      <c r="A96" s="6" t="s">
        <v>975</v>
      </c>
      <c r="B96" s="6"/>
      <c r="C96" s="6"/>
      <c r="D96" s="6"/>
      <c r="E96" s="6"/>
      <c r="F96" s="6"/>
      <c r="G96" s="6"/>
      <c r="H96" s="6"/>
      <c r="I96" s="6"/>
      <c r="J96" s="6"/>
      <c r="K96" s="3"/>
      <c r="L96" s="3"/>
    </row>
    <row r="97" customFormat="false" ht="15" hidden="false" customHeight="true" outlineLevel="0" collapsed="false">
      <c r="A97" s="6" t="s">
        <v>976</v>
      </c>
      <c r="B97" s="6"/>
      <c r="C97" s="6"/>
      <c r="D97" s="6"/>
      <c r="E97" s="6"/>
      <c r="F97" s="6"/>
      <c r="G97" s="6"/>
      <c r="H97" s="6"/>
      <c r="I97" s="6"/>
      <c r="J97" s="6"/>
      <c r="K97" s="3"/>
      <c r="L97" s="3"/>
    </row>
    <row r="98" customFormat="false" ht="15" hidden="false" customHeight="true" outlineLevel="0" collapsed="false">
      <c r="A98" s="6" t="s">
        <v>977</v>
      </c>
      <c r="B98" s="6"/>
      <c r="C98" s="6"/>
      <c r="D98" s="6"/>
      <c r="E98" s="6"/>
      <c r="F98" s="6"/>
      <c r="G98" s="6"/>
      <c r="H98" s="6"/>
      <c r="I98" s="6"/>
      <c r="J98" s="6"/>
      <c r="K98" s="3"/>
      <c r="L98" s="3"/>
    </row>
    <row r="99" customFormat="false" ht="15" hidden="false" customHeight="true" outlineLevel="0" collapsed="false">
      <c r="A99" s="6" t="s">
        <v>978</v>
      </c>
      <c r="B99" s="6"/>
      <c r="C99" s="6"/>
      <c r="D99" s="6"/>
      <c r="E99" s="6"/>
      <c r="F99" s="6"/>
      <c r="G99" s="6"/>
      <c r="H99" s="6"/>
      <c r="I99" s="6"/>
      <c r="J99" s="6"/>
      <c r="K99" s="3"/>
      <c r="L99" s="3"/>
    </row>
    <row r="100" customFormat="false" ht="15" hidden="false" customHeight="true" outlineLevel="0" collapsed="false">
      <c r="A100" s="6" t="s">
        <v>979</v>
      </c>
      <c r="B100" s="6"/>
      <c r="C100" s="6"/>
      <c r="D100" s="6"/>
      <c r="E100" s="6"/>
      <c r="F100" s="6"/>
      <c r="G100" s="6"/>
      <c r="H100" s="6"/>
      <c r="I100" s="6"/>
      <c r="J100" s="6"/>
      <c r="K100" s="3"/>
      <c r="L100" s="3"/>
    </row>
    <row r="101" customFormat="false" ht="15" hidden="false" customHeight="true" outlineLevel="0" collapsed="false">
      <c r="A101" s="6" t="s">
        <v>980</v>
      </c>
      <c r="B101" s="6"/>
      <c r="C101" s="6"/>
      <c r="D101" s="6"/>
      <c r="E101" s="6"/>
      <c r="F101" s="6"/>
      <c r="G101" s="6"/>
      <c r="H101" s="6"/>
      <c r="I101" s="6"/>
      <c r="J101" s="6"/>
      <c r="K101" s="3"/>
      <c r="L101" s="3"/>
    </row>
    <row r="102" customFormat="false" ht="15" hidden="false" customHeight="true" outlineLevel="0" collapsed="false">
      <c r="A102" s="6" t="s">
        <v>981</v>
      </c>
      <c r="B102" s="6"/>
      <c r="C102" s="6"/>
      <c r="D102" s="6"/>
      <c r="E102" s="6"/>
      <c r="F102" s="6"/>
      <c r="G102" s="6"/>
      <c r="H102" s="6"/>
      <c r="I102" s="6"/>
      <c r="J102" s="6"/>
      <c r="K102" s="3"/>
      <c r="L102" s="3"/>
    </row>
    <row r="103" customFormat="false" ht="15" hidden="false" customHeight="true" outlineLevel="0" collapsed="false">
      <c r="A103" s="6" t="s">
        <v>982</v>
      </c>
      <c r="B103" s="6"/>
      <c r="C103" s="6"/>
      <c r="D103" s="6"/>
      <c r="E103" s="6"/>
      <c r="F103" s="6"/>
      <c r="G103" s="6"/>
      <c r="H103" s="6"/>
      <c r="I103" s="6"/>
      <c r="J103" s="6"/>
      <c r="K103" s="3"/>
      <c r="L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</sheetData>
  <mergeCells count="1">
    <mergeCell ref="A1:J1"/>
  </mergeCells>
  <dataValidations count="1">
    <dataValidation allowBlank="false" errorStyle="stop" operator="between" showDropDown="false" showErrorMessage="false" showInputMessage="false" sqref="J4:J103" type="list">
      <formula1>"Por diseñar,Rojo,Verde,Refactor"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22"/>
  </cols>
  <sheetData>
    <row r="1" customFormat="false" ht="20.25" hidden="false" customHeight="true" outlineLevel="0" collapsed="false">
      <c r="A1" s="2" t="s">
        <v>983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24</v>
      </c>
      <c r="B3" s="4" t="s">
        <v>984</v>
      </c>
      <c r="C3" s="4" t="s">
        <v>985</v>
      </c>
      <c r="D3" s="4" t="s">
        <v>986</v>
      </c>
      <c r="E3" s="4" t="s">
        <v>987</v>
      </c>
      <c r="F3" s="4" t="s">
        <v>988</v>
      </c>
      <c r="G3" s="4" t="s">
        <v>989</v>
      </c>
      <c r="H3" s="4" t="s">
        <v>990</v>
      </c>
      <c r="I3" s="4" t="s">
        <v>9</v>
      </c>
      <c r="J3" s="4" t="s">
        <v>33</v>
      </c>
      <c r="K3" s="3"/>
      <c r="L3" s="3"/>
    </row>
    <row r="4" customFormat="false" ht="44.25" hidden="false" customHeight="true" outlineLevel="0" collapsed="false">
      <c r="A4" s="6" t="s">
        <v>991</v>
      </c>
      <c r="B4" s="6" t="s">
        <v>992</v>
      </c>
      <c r="C4" s="6" t="s">
        <v>993</v>
      </c>
      <c r="D4" s="6" t="s">
        <v>994</v>
      </c>
      <c r="E4" s="6" t="s">
        <v>995</v>
      </c>
      <c r="F4" s="6" t="s">
        <v>996</v>
      </c>
      <c r="G4" s="6" t="s">
        <v>997</v>
      </c>
      <c r="H4" s="6" t="s">
        <v>998</v>
      </c>
      <c r="I4" s="6" t="s">
        <v>999</v>
      </c>
      <c r="J4" s="6" t="s">
        <v>1000</v>
      </c>
      <c r="K4" s="3"/>
      <c r="L4" s="3"/>
    </row>
    <row r="5" customFormat="false" ht="30.75" hidden="false" customHeight="true" outlineLevel="0" collapsed="false">
      <c r="A5" s="6" t="s">
        <v>1001</v>
      </c>
      <c r="B5" s="6" t="s">
        <v>992</v>
      </c>
      <c r="C5" s="6" t="s">
        <v>281</v>
      </c>
      <c r="D5" s="6" t="s">
        <v>1002</v>
      </c>
      <c r="E5" s="6" t="s">
        <v>1003</v>
      </c>
      <c r="F5" s="6" t="s">
        <v>1004</v>
      </c>
      <c r="G5" s="6" t="s">
        <v>1005</v>
      </c>
      <c r="H5" s="6" t="s">
        <v>998</v>
      </c>
      <c r="I5" s="6" t="s">
        <v>999</v>
      </c>
      <c r="J5" s="6" t="s">
        <v>1006</v>
      </c>
      <c r="K5" s="3"/>
      <c r="L5" s="3"/>
    </row>
    <row r="6" customFormat="false" ht="84.75" hidden="false" customHeight="true" outlineLevel="0" collapsed="false">
      <c r="A6" s="6" t="s">
        <v>1007</v>
      </c>
      <c r="B6" s="6" t="s">
        <v>1008</v>
      </c>
      <c r="C6" s="6" t="s">
        <v>628</v>
      </c>
      <c r="D6" s="6" t="s">
        <v>1009</v>
      </c>
      <c r="E6" s="6" t="s">
        <v>1010</v>
      </c>
      <c r="F6" s="6" t="s">
        <v>1011</v>
      </c>
      <c r="G6" s="6" t="s">
        <v>1005</v>
      </c>
      <c r="H6" s="6" t="s">
        <v>998</v>
      </c>
      <c r="I6" s="6" t="s">
        <v>999</v>
      </c>
      <c r="J6" s="6" t="s">
        <v>1012</v>
      </c>
      <c r="K6" s="3"/>
      <c r="L6" s="3"/>
    </row>
    <row r="7" customFormat="false" ht="156.75" hidden="false" customHeight="true" outlineLevel="0" collapsed="false">
      <c r="A7" s="6" t="s">
        <v>1013</v>
      </c>
      <c r="B7" s="6" t="s">
        <v>1014</v>
      </c>
      <c r="C7" s="6" t="s">
        <v>1015</v>
      </c>
      <c r="D7" s="6" t="s">
        <v>1016</v>
      </c>
      <c r="E7" s="6" t="s">
        <v>1017</v>
      </c>
      <c r="F7" s="6" t="s">
        <v>1018</v>
      </c>
      <c r="G7" s="6" t="s">
        <v>1005</v>
      </c>
      <c r="H7" s="6" t="s">
        <v>998</v>
      </c>
      <c r="I7" s="6" t="s">
        <v>1019</v>
      </c>
      <c r="J7" s="6" t="s">
        <v>1020</v>
      </c>
      <c r="K7" s="3"/>
      <c r="L7" s="3"/>
    </row>
    <row r="8" customFormat="false" ht="71.25" hidden="false" customHeight="true" outlineLevel="0" collapsed="false">
      <c r="A8" s="6" t="s">
        <v>1021</v>
      </c>
      <c r="B8" s="6" t="s">
        <v>1022</v>
      </c>
      <c r="C8" s="6" t="s">
        <v>1023</v>
      </c>
      <c r="D8" s="6" t="s">
        <v>1024</v>
      </c>
      <c r="E8" s="6" t="s">
        <v>1025</v>
      </c>
      <c r="F8" s="6" t="s">
        <v>1026</v>
      </c>
      <c r="G8" s="6" t="s">
        <v>1027</v>
      </c>
      <c r="H8" s="6" t="s">
        <v>998</v>
      </c>
      <c r="I8" s="6" t="s">
        <v>1019</v>
      </c>
      <c r="J8" s="6" t="s">
        <v>1028</v>
      </c>
      <c r="K8" s="3"/>
      <c r="L8" s="3"/>
    </row>
    <row r="9" customFormat="false" ht="42" hidden="false" customHeight="true" outlineLevel="0" collapsed="false">
      <c r="A9" s="6" t="s">
        <v>1029</v>
      </c>
      <c r="B9" s="6" t="s">
        <v>1030</v>
      </c>
      <c r="C9" s="6" t="s">
        <v>281</v>
      </c>
      <c r="D9" s="6" t="s">
        <v>1031</v>
      </c>
      <c r="E9" s="6" t="s">
        <v>1032</v>
      </c>
      <c r="F9" s="6" t="s">
        <v>1033</v>
      </c>
      <c r="G9" s="6" t="s">
        <v>997</v>
      </c>
      <c r="H9" s="6" t="s">
        <v>998</v>
      </c>
      <c r="I9" s="6" t="s">
        <v>999</v>
      </c>
      <c r="J9" s="6" t="s">
        <v>297</v>
      </c>
      <c r="K9" s="3"/>
      <c r="L9" s="3"/>
    </row>
    <row r="10" customFormat="false" ht="54.75" hidden="false" customHeight="true" outlineLevel="0" collapsed="false">
      <c r="A10" s="6" t="s">
        <v>1034</v>
      </c>
      <c r="B10" s="6" t="s">
        <v>1035</v>
      </c>
      <c r="C10" s="6" t="s">
        <v>1036</v>
      </c>
      <c r="D10" s="6" t="s">
        <v>1037</v>
      </c>
      <c r="E10" s="6" t="s">
        <v>1038</v>
      </c>
      <c r="F10" s="6" t="s">
        <v>1039</v>
      </c>
      <c r="G10" s="6" t="s">
        <v>997</v>
      </c>
      <c r="H10" s="6" t="s">
        <v>998</v>
      </c>
      <c r="I10" s="6" t="s">
        <v>999</v>
      </c>
      <c r="J10" s="6" t="s">
        <v>1040</v>
      </c>
      <c r="K10" s="3"/>
      <c r="L10" s="3"/>
    </row>
    <row r="11" customFormat="false" ht="98.25" hidden="false" customHeight="true" outlineLevel="0" collapsed="false">
      <c r="A11" s="6" t="s">
        <v>1041</v>
      </c>
      <c r="B11" s="6" t="s">
        <v>1042</v>
      </c>
      <c r="C11" s="6" t="s">
        <v>1043</v>
      </c>
      <c r="D11" s="6" t="s">
        <v>1044</v>
      </c>
      <c r="E11" s="6" t="s">
        <v>1045</v>
      </c>
      <c r="F11" s="6" t="s">
        <v>1046</v>
      </c>
      <c r="G11" s="6" t="s">
        <v>997</v>
      </c>
      <c r="H11" s="6" t="s">
        <v>998</v>
      </c>
      <c r="I11" s="6" t="s">
        <v>999</v>
      </c>
      <c r="J11" s="6" t="s">
        <v>1047</v>
      </c>
      <c r="K11" s="3"/>
      <c r="L11" s="3"/>
    </row>
    <row r="12" customFormat="false" ht="84.75" hidden="false" customHeight="true" outlineLevel="0" collapsed="false">
      <c r="A12" s="6" t="s">
        <v>1048</v>
      </c>
      <c r="B12" s="6" t="s">
        <v>1049</v>
      </c>
      <c r="C12" s="6" t="s">
        <v>1050</v>
      </c>
      <c r="D12" s="6" t="s">
        <v>1051</v>
      </c>
      <c r="E12" s="6" t="s">
        <v>1052</v>
      </c>
      <c r="F12" s="6" t="s">
        <v>1053</v>
      </c>
      <c r="G12" s="6" t="s">
        <v>997</v>
      </c>
      <c r="H12" s="6" t="s">
        <v>998</v>
      </c>
      <c r="I12" s="6" t="s">
        <v>999</v>
      </c>
      <c r="J12" s="6" t="s">
        <v>1054</v>
      </c>
      <c r="K12" s="3"/>
      <c r="L12" s="3"/>
    </row>
    <row r="13" customFormat="false" ht="84.75" hidden="false" customHeight="true" outlineLevel="0" collapsed="false">
      <c r="A13" s="6" t="s">
        <v>1055</v>
      </c>
      <c r="B13" s="6" t="s">
        <v>1056</v>
      </c>
      <c r="C13" s="6" t="s">
        <v>1057</v>
      </c>
      <c r="D13" s="6" t="s">
        <v>1058</v>
      </c>
      <c r="E13" s="6" t="s">
        <v>1059</v>
      </c>
      <c r="F13" s="6" t="s">
        <v>1060</v>
      </c>
      <c r="G13" s="6" t="s">
        <v>997</v>
      </c>
      <c r="H13" s="6" t="s">
        <v>998</v>
      </c>
      <c r="I13" s="6" t="s">
        <v>999</v>
      </c>
      <c r="J13" s="6" t="s">
        <v>1061</v>
      </c>
      <c r="K13" s="3"/>
      <c r="L13" s="3"/>
    </row>
    <row r="14" customFormat="false" ht="44.25" hidden="false" customHeight="true" outlineLevel="0" collapsed="false">
      <c r="A14" s="6" t="s">
        <v>1062</v>
      </c>
      <c r="B14" s="6" t="s">
        <v>1063</v>
      </c>
      <c r="C14" s="6" t="s">
        <v>1064</v>
      </c>
      <c r="D14" s="6" t="s">
        <v>1065</v>
      </c>
      <c r="E14" s="6" t="s">
        <v>1066</v>
      </c>
      <c r="F14" s="6" t="s">
        <v>1067</v>
      </c>
      <c r="G14" s="6" t="s">
        <v>1005</v>
      </c>
      <c r="H14" s="6" t="s">
        <v>998</v>
      </c>
      <c r="I14" s="6" t="s">
        <v>999</v>
      </c>
      <c r="J14" s="6" t="s">
        <v>297</v>
      </c>
      <c r="K14" s="3"/>
      <c r="L14" s="3"/>
    </row>
    <row r="15" customFormat="false" ht="57.75" hidden="false" customHeight="true" outlineLevel="0" collapsed="false">
      <c r="A15" s="6" t="s">
        <v>1068</v>
      </c>
      <c r="B15" s="6" t="s">
        <v>1069</v>
      </c>
      <c r="C15" s="6" t="s">
        <v>628</v>
      </c>
      <c r="D15" s="6" t="s">
        <v>1070</v>
      </c>
      <c r="E15" s="6" t="s">
        <v>1071</v>
      </c>
      <c r="F15" s="6" t="s">
        <v>1072</v>
      </c>
      <c r="G15" s="6" t="s">
        <v>997</v>
      </c>
      <c r="H15" s="6" t="s">
        <v>998</v>
      </c>
      <c r="I15" s="6" t="s">
        <v>999</v>
      </c>
      <c r="J15" s="6" t="s">
        <v>1054</v>
      </c>
      <c r="K15" s="3"/>
      <c r="L15" s="3"/>
    </row>
    <row r="16" customFormat="false" ht="84.75" hidden="false" customHeight="true" outlineLevel="0" collapsed="false">
      <c r="A16" s="6" t="s">
        <v>1073</v>
      </c>
      <c r="B16" s="6" t="s">
        <v>1074</v>
      </c>
      <c r="C16" s="6" t="s">
        <v>635</v>
      </c>
      <c r="D16" s="6" t="s">
        <v>1075</v>
      </c>
      <c r="E16" s="6" t="s">
        <v>1076</v>
      </c>
      <c r="F16" s="6" t="s">
        <v>1077</v>
      </c>
      <c r="G16" s="6" t="s">
        <v>997</v>
      </c>
      <c r="H16" s="6" t="s">
        <v>998</v>
      </c>
      <c r="I16" s="6" t="s">
        <v>1019</v>
      </c>
      <c r="J16" s="6" t="s">
        <v>1078</v>
      </c>
      <c r="K16" s="3"/>
      <c r="L16" s="3"/>
    </row>
    <row r="17" customFormat="false" ht="57.75" hidden="false" customHeight="true" outlineLevel="0" collapsed="false">
      <c r="A17" s="6" t="s">
        <v>1079</v>
      </c>
      <c r="B17" s="6" t="s">
        <v>1080</v>
      </c>
      <c r="C17" s="6" t="s">
        <v>1081</v>
      </c>
      <c r="D17" s="6" t="s">
        <v>1082</v>
      </c>
      <c r="E17" s="6" t="s">
        <v>1083</v>
      </c>
      <c r="F17" s="6" t="s">
        <v>1084</v>
      </c>
      <c r="G17" s="6" t="s">
        <v>1005</v>
      </c>
      <c r="H17" s="6" t="s">
        <v>998</v>
      </c>
      <c r="I17" s="6" t="s">
        <v>999</v>
      </c>
      <c r="J17" s="6" t="s">
        <v>297</v>
      </c>
      <c r="K17" s="3"/>
      <c r="L17" s="3"/>
    </row>
    <row r="18" customFormat="false" ht="71.25" hidden="false" customHeight="true" outlineLevel="0" collapsed="false">
      <c r="A18" s="6" t="s">
        <v>1085</v>
      </c>
      <c r="B18" s="6" t="s">
        <v>1086</v>
      </c>
      <c r="C18" s="6" t="s">
        <v>355</v>
      </c>
      <c r="D18" s="6" t="s">
        <v>1087</v>
      </c>
      <c r="E18" s="6" t="s">
        <v>1088</v>
      </c>
      <c r="F18" s="6" t="s">
        <v>1089</v>
      </c>
      <c r="G18" s="6" t="s">
        <v>997</v>
      </c>
      <c r="H18" s="6" t="s">
        <v>998</v>
      </c>
      <c r="I18" s="6" t="s">
        <v>999</v>
      </c>
      <c r="J18" s="6" t="s">
        <v>1090</v>
      </c>
      <c r="K18" s="3"/>
      <c r="L18" s="3"/>
    </row>
    <row r="19" customFormat="false" ht="71.25" hidden="false" customHeight="true" outlineLevel="0" collapsed="false">
      <c r="A19" s="6" t="s">
        <v>1091</v>
      </c>
      <c r="B19" s="6" t="s">
        <v>1092</v>
      </c>
      <c r="C19" s="6" t="s">
        <v>1093</v>
      </c>
      <c r="D19" s="6" t="s">
        <v>1094</v>
      </c>
      <c r="E19" s="6" t="s">
        <v>1095</v>
      </c>
      <c r="F19" s="6" t="s">
        <v>1096</v>
      </c>
      <c r="G19" s="6" t="s">
        <v>997</v>
      </c>
      <c r="H19" s="6" t="s">
        <v>998</v>
      </c>
      <c r="I19" s="6" t="s">
        <v>1019</v>
      </c>
      <c r="J19" s="6" t="s">
        <v>1097</v>
      </c>
      <c r="K19" s="3"/>
      <c r="L19" s="3"/>
    </row>
    <row r="20" customFormat="false" ht="80.25" hidden="false" customHeight="true" outlineLevel="0" collapsed="false">
      <c r="A20" s="6" t="s">
        <v>1098</v>
      </c>
      <c r="B20" s="6" t="s">
        <v>1099</v>
      </c>
      <c r="C20" s="6" t="s">
        <v>1100</v>
      </c>
      <c r="D20" s="6" t="s">
        <v>1101</v>
      </c>
      <c r="E20" s="6" t="s">
        <v>1102</v>
      </c>
      <c r="F20" s="6" t="s">
        <v>1103</v>
      </c>
      <c r="G20" s="6" t="s">
        <v>1005</v>
      </c>
      <c r="H20" s="6" t="s">
        <v>998</v>
      </c>
      <c r="I20" s="6" t="s">
        <v>999</v>
      </c>
      <c r="J20" s="6" t="s">
        <v>1104</v>
      </c>
      <c r="K20" s="3"/>
      <c r="L20" s="3"/>
    </row>
    <row r="21" customFormat="false" ht="93" hidden="false" customHeight="true" outlineLevel="0" collapsed="false">
      <c r="A21" s="6" t="s">
        <v>1105</v>
      </c>
      <c r="B21" s="6" t="s">
        <v>1106</v>
      </c>
      <c r="C21" s="6" t="s">
        <v>1107</v>
      </c>
      <c r="D21" s="6" t="s">
        <v>1108</v>
      </c>
      <c r="E21" s="6" t="s">
        <v>1109</v>
      </c>
      <c r="F21" s="6" t="s">
        <v>1110</v>
      </c>
      <c r="G21" s="6" t="s">
        <v>997</v>
      </c>
      <c r="H21" s="6" t="s">
        <v>998</v>
      </c>
      <c r="I21" s="6" t="s">
        <v>999</v>
      </c>
      <c r="J21" s="6" t="s">
        <v>297</v>
      </c>
      <c r="K21" s="3"/>
      <c r="L21" s="3"/>
    </row>
    <row r="22" customFormat="false" ht="15" hidden="false" customHeight="true" outlineLevel="0" collapsed="false">
      <c r="A22" s="6" t="s">
        <v>1111</v>
      </c>
      <c r="B22" s="6" t="s">
        <v>1112</v>
      </c>
      <c r="C22" s="6" t="s">
        <v>258</v>
      </c>
      <c r="D22" s="6" t="s">
        <v>1113</v>
      </c>
      <c r="E22" s="6" t="s">
        <v>1114</v>
      </c>
      <c r="F22" s="6" t="s">
        <v>1115</v>
      </c>
      <c r="G22" s="6" t="s">
        <v>1005</v>
      </c>
      <c r="H22" s="6" t="s">
        <v>998</v>
      </c>
      <c r="I22" s="6" t="s">
        <v>999</v>
      </c>
      <c r="J22" s="6" t="s">
        <v>1116</v>
      </c>
      <c r="K22" s="3"/>
      <c r="L22" s="3"/>
    </row>
    <row r="23" customFormat="false" ht="15" hidden="false" customHeight="true" outlineLevel="0" collapsed="false">
      <c r="A23" s="6" t="s">
        <v>1117</v>
      </c>
      <c r="B23" s="6" t="s">
        <v>1118</v>
      </c>
      <c r="C23" s="6" t="s">
        <v>1119</v>
      </c>
      <c r="D23" s="6" t="s">
        <v>1120</v>
      </c>
      <c r="E23" s="6" t="s">
        <v>1121</v>
      </c>
      <c r="F23" s="6" t="s">
        <v>1122</v>
      </c>
      <c r="G23" s="6" t="s">
        <v>1027</v>
      </c>
      <c r="H23" s="6" t="s">
        <v>998</v>
      </c>
      <c r="I23" s="6" t="s">
        <v>999</v>
      </c>
      <c r="J23" s="6" t="s">
        <v>297</v>
      </c>
      <c r="K23" s="3"/>
      <c r="L23" s="3"/>
    </row>
    <row r="24" customFormat="false" ht="67.5" hidden="false" customHeight="true" outlineLevel="0" collapsed="false">
      <c r="A24" s="6" t="s">
        <v>1123</v>
      </c>
      <c r="B24" s="6" t="s">
        <v>1124</v>
      </c>
      <c r="C24" s="6" t="s">
        <v>1125</v>
      </c>
      <c r="D24" s="6" t="s">
        <v>1126</v>
      </c>
      <c r="E24" s="6" t="s">
        <v>1127</v>
      </c>
      <c r="F24" s="6" t="s">
        <v>1128</v>
      </c>
      <c r="G24" s="6" t="s">
        <v>1005</v>
      </c>
      <c r="H24" s="6" t="s">
        <v>998</v>
      </c>
      <c r="I24" s="6" t="s">
        <v>999</v>
      </c>
      <c r="J24" s="6" t="s">
        <v>1129</v>
      </c>
      <c r="K24" s="3"/>
      <c r="L24" s="3"/>
    </row>
    <row r="25" customFormat="false" ht="67.5" hidden="false" customHeight="true" outlineLevel="0" collapsed="false">
      <c r="A25" s="6" t="s">
        <v>1130</v>
      </c>
      <c r="B25" s="6" t="s">
        <v>1131</v>
      </c>
      <c r="C25" s="6" t="s">
        <v>1132</v>
      </c>
      <c r="D25" s="6" t="s">
        <v>1133</v>
      </c>
      <c r="E25" s="6" t="s">
        <v>1134</v>
      </c>
      <c r="F25" s="6" t="s">
        <v>1135</v>
      </c>
      <c r="G25" s="6" t="s">
        <v>1027</v>
      </c>
      <c r="H25" s="6" t="s">
        <v>998</v>
      </c>
      <c r="I25" s="6" t="s">
        <v>999</v>
      </c>
      <c r="J25" s="6" t="s">
        <v>1136</v>
      </c>
      <c r="K25" s="3"/>
      <c r="L25" s="3"/>
    </row>
    <row r="26" customFormat="false" ht="15" hidden="false" customHeight="true" outlineLevel="0" collapsed="false">
      <c r="A26" s="6" t="s">
        <v>1137</v>
      </c>
      <c r="B26" s="6"/>
      <c r="C26" s="6"/>
      <c r="D26" s="6"/>
      <c r="E26" s="6"/>
      <c r="F26" s="6"/>
      <c r="G26" s="6"/>
      <c r="H26" s="6"/>
      <c r="I26" s="6"/>
      <c r="J26" s="6"/>
      <c r="K26" s="3"/>
      <c r="L26" s="3"/>
    </row>
    <row r="27" customFormat="false" ht="15" hidden="false" customHeight="true" outlineLevel="0" collapsed="false">
      <c r="A27" s="6" t="s">
        <v>1138</v>
      </c>
      <c r="B27" s="6"/>
      <c r="C27" s="6"/>
      <c r="D27" s="6"/>
      <c r="E27" s="6"/>
      <c r="F27" s="6"/>
      <c r="G27" s="6"/>
      <c r="H27" s="6"/>
      <c r="I27" s="6"/>
      <c r="J27" s="6"/>
      <c r="K27" s="3"/>
      <c r="L27" s="3"/>
    </row>
    <row r="28" customFormat="false" ht="15" hidden="false" customHeight="true" outlineLevel="0" collapsed="false">
      <c r="A28" s="6" t="s">
        <v>1139</v>
      </c>
      <c r="B28" s="6"/>
      <c r="C28" s="6"/>
      <c r="D28" s="6"/>
      <c r="E28" s="6"/>
      <c r="F28" s="6"/>
      <c r="G28" s="6"/>
      <c r="H28" s="6"/>
      <c r="I28" s="6"/>
      <c r="J28" s="6"/>
      <c r="K28" s="3"/>
      <c r="L28" s="3"/>
    </row>
    <row r="29" customFormat="false" ht="15" hidden="false" customHeight="true" outlineLevel="0" collapsed="false">
      <c r="A29" s="6" t="s">
        <v>1140</v>
      </c>
      <c r="B29" s="6"/>
      <c r="C29" s="6"/>
      <c r="D29" s="6"/>
      <c r="E29" s="6"/>
      <c r="F29" s="6"/>
      <c r="G29" s="6"/>
      <c r="H29" s="6"/>
      <c r="I29" s="6"/>
      <c r="J29" s="6"/>
      <c r="K29" s="3"/>
      <c r="L29" s="3"/>
    </row>
    <row r="30" customFormat="false" ht="15" hidden="false" customHeight="true" outlineLevel="0" collapsed="false">
      <c r="A30" s="6" t="s">
        <v>1141</v>
      </c>
      <c r="B30" s="6"/>
      <c r="C30" s="6"/>
      <c r="D30" s="6"/>
      <c r="E30" s="6"/>
      <c r="F30" s="6"/>
      <c r="G30" s="6"/>
      <c r="H30" s="6"/>
      <c r="I30" s="6"/>
      <c r="J30" s="6"/>
      <c r="K30" s="3"/>
      <c r="L30" s="3"/>
    </row>
    <row r="31" customFormat="false" ht="15" hidden="false" customHeight="true" outlineLevel="0" collapsed="false">
      <c r="A31" s="6" t="s">
        <v>1142</v>
      </c>
      <c r="B31" s="6"/>
      <c r="C31" s="6"/>
      <c r="D31" s="6"/>
      <c r="E31" s="6"/>
      <c r="F31" s="6"/>
      <c r="G31" s="6"/>
      <c r="H31" s="6"/>
      <c r="I31" s="6"/>
      <c r="J31" s="6"/>
      <c r="K31" s="3"/>
      <c r="L31" s="3"/>
    </row>
    <row r="32" customFormat="false" ht="15" hidden="false" customHeight="true" outlineLevel="0" collapsed="false">
      <c r="A32" s="6" t="s">
        <v>1143</v>
      </c>
      <c r="B32" s="6"/>
      <c r="C32" s="6"/>
      <c r="D32" s="6"/>
      <c r="E32" s="6"/>
      <c r="F32" s="6"/>
      <c r="G32" s="6"/>
      <c r="H32" s="6"/>
      <c r="I32" s="6"/>
      <c r="J32" s="6"/>
      <c r="K32" s="3"/>
      <c r="L32" s="3"/>
    </row>
    <row r="33" customFormat="false" ht="15" hidden="false" customHeight="true" outlineLevel="0" collapsed="false">
      <c r="A33" s="6" t="s">
        <v>1144</v>
      </c>
      <c r="B33" s="6"/>
      <c r="C33" s="6"/>
      <c r="D33" s="6"/>
      <c r="E33" s="6"/>
      <c r="F33" s="6"/>
      <c r="G33" s="6"/>
      <c r="H33" s="6"/>
      <c r="I33" s="6"/>
      <c r="J33" s="6"/>
      <c r="K33" s="3"/>
      <c r="L33" s="3"/>
    </row>
    <row r="34" customFormat="false" ht="15" hidden="false" customHeight="true" outlineLevel="0" collapsed="false">
      <c r="A34" s="6" t="s">
        <v>1145</v>
      </c>
      <c r="B34" s="6"/>
      <c r="C34" s="6"/>
      <c r="D34" s="6"/>
      <c r="E34" s="6"/>
      <c r="F34" s="6"/>
      <c r="G34" s="6"/>
      <c r="H34" s="6"/>
      <c r="I34" s="6"/>
      <c r="J34" s="6"/>
      <c r="K34" s="3"/>
      <c r="L34" s="3"/>
    </row>
    <row r="35" customFormat="false" ht="15" hidden="false" customHeight="true" outlineLevel="0" collapsed="false">
      <c r="A35" s="6" t="s">
        <v>1146</v>
      </c>
      <c r="B35" s="6"/>
      <c r="C35" s="6"/>
      <c r="D35" s="6"/>
      <c r="E35" s="6"/>
      <c r="F35" s="6"/>
      <c r="G35" s="6"/>
      <c r="H35" s="6"/>
      <c r="I35" s="6"/>
      <c r="J35" s="6"/>
      <c r="K35" s="3"/>
      <c r="L35" s="3"/>
    </row>
    <row r="36" customFormat="false" ht="15" hidden="false" customHeight="true" outlineLevel="0" collapsed="false">
      <c r="A36" s="6" t="s">
        <v>1147</v>
      </c>
      <c r="B36" s="6"/>
      <c r="C36" s="6"/>
      <c r="D36" s="6"/>
      <c r="E36" s="6"/>
      <c r="F36" s="6"/>
      <c r="G36" s="6"/>
      <c r="H36" s="6"/>
      <c r="I36" s="6"/>
      <c r="J36" s="6"/>
      <c r="K36" s="3"/>
      <c r="L36" s="3"/>
    </row>
    <row r="37" customFormat="false" ht="15" hidden="false" customHeight="true" outlineLevel="0" collapsed="false">
      <c r="A37" s="6" t="s">
        <v>1148</v>
      </c>
      <c r="B37" s="6"/>
      <c r="C37" s="6"/>
      <c r="D37" s="6"/>
      <c r="E37" s="6"/>
      <c r="F37" s="6"/>
      <c r="G37" s="6"/>
      <c r="H37" s="6"/>
      <c r="I37" s="6"/>
      <c r="J37" s="6"/>
      <c r="K37" s="3"/>
      <c r="L37" s="3"/>
    </row>
    <row r="38" customFormat="false" ht="15" hidden="false" customHeight="true" outlineLevel="0" collapsed="false">
      <c r="A38" s="6" t="s">
        <v>1149</v>
      </c>
      <c r="B38" s="6"/>
      <c r="C38" s="6"/>
      <c r="D38" s="6"/>
      <c r="E38" s="6"/>
      <c r="F38" s="6"/>
      <c r="G38" s="6"/>
      <c r="H38" s="6"/>
      <c r="I38" s="6"/>
      <c r="J38" s="6"/>
      <c r="K38" s="3"/>
      <c r="L38" s="3"/>
    </row>
    <row r="39" customFormat="false" ht="15" hidden="false" customHeight="true" outlineLevel="0" collapsed="false">
      <c r="A39" s="6" t="s">
        <v>1150</v>
      </c>
      <c r="B39" s="6"/>
      <c r="C39" s="6"/>
      <c r="D39" s="6"/>
      <c r="E39" s="6"/>
      <c r="F39" s="6"/>
      <c r="G39" s="6"/>
      <c r="H39" s="6"/>
      <c r="I39" s="6"/>
      <c r="J39" s="6"/>
      <c r="K39" s="3"/>
      <c r="L39" s="3"/>
    </row>
    <row r="40" customFormat="false" ht="15" hidden="false" customHeight="true" outlineLevel="0" collapsed="false">
      <c r="A40" s="6" t="s">
        <v>1151</v>
      </c>
      <c r="B40" s="6"/>
      <c r="C40" s="6"/>
      <c r="D40" s="6"/>
      <c r="E40" s="6"/>
      <c r="F40" s="6"/>
      <c r="G40" s="6"/>
      <c r="H40" s="6"/>
      <c r="I40" s="6"/>
      <c r="J40" s="6"/>
      <c r="K40" s="3"/>
      <c r="L40" s="3"/>
    </row>
    <row r="41" customFormat="false" ht="15" hidden="false" customHeight="true" outlineLevel="0" collapsed="false">
      <c r="A41" s="6" t="s">
        <v>1152</v>
      </c>
      <c r="B41" s="6"/>
      <c r="C41" s="6"/>
      <c r="D41" s="6"/>
      <c r="E41" s="6"/>
      <c r="F41" s="6"/>
      <c r="G41" s="6"/>
      <c r="H41" s="6"/>
      <c r="I41" s="6"/>
      <c r="J41" s="6"/>
      <c r="K41" s="3"/>
      <c r="L41" s="3"/>
    </row>
    <row r="42" customFormat="false" ht="15" hidden="false" customHeight="true" outlineLevel="0" collapsed="false">
      <c r="A42" s="6" t="s">
        <v>1153</v>
      </c>
      <c r="B42" s="6"/>
      <c r="C42" s="6"/>
      <c r="D42" s="6"/>
      <c r="E42" s="6"/>
      <c r="F42" s="6"/>
      <c r="G42" s="6"/>
      <c r="H42" s="6"/>
      <c r="I42" s="6"/>
      <c r="J42" s="6"/>
      <c r="K42" s="3"/>
      <c r="L42" s="3"/>
    </row>
    <row r="43" customFormat="false" ht="15" hidden="false" customHeight="true" outlineLevel="0" collapsed="false">
      <c r="A43" s="6" t="s">
        <v>1154</v>
      </c>
      <c r="B43" s="6"/>
      <c r="C43" s="6"/>
      <c r="D43" s="6"/>
      <c r="E43" s="6"/>
      <c r="F43" s="6"/>
      <c r="G43" s="6"/>
      <c r="H43" s="6"/>
      <c r="I43" s="6"/>
      <c r="J43" s="6"/>
      <c r="K43" s="3"/>
      <c r="L43" s="3"/>
    </row>
    <row r="44" customFormat="false" ht="15" hidden="false" customHeight="true" outlineLevel="0" collapsed="false">
      <c r="A44" s="6" t="s">
        <v>1155</v>
      </c>
      <c r="B44" s="6"/>
      <c r="C44" s="6"/>
      <c r="D44" s="6"/>
      <c r="E44" s="6"/>
      <c r="F44" s="6"/>
      <c r="G44" s="6"/>
      <c r="H44" s="6"/>
      <c r="I44" s="6"/>
      <c r="J44" s="6"/>
      <c r="K44" s="3"/>
      <c r="L44" s="3"/>
    </row>
    <row r="45" customFormat="false" ht="15" hidden="false" customHeight="true" outlineLevel="0" collapsed="false">
      <c r="A45" s="6" t="s">
        <v>1156</v>
      </c>
      <c r="B45" s="6"/>
      <c r="C45" s="6"/>
      <c r="D45" s="6"/>
      <c r="E45" s="6"/>
      <c r="F45" s="6"/>
      <c r="G45" s="6"/>
      <c r="H45" s="6"/>
      <c r="I45" s="6"/>
      <c r="J45" s="6"/>
      <c r="K45" s="3"/>
      <c r="L45" s="3"/>
    </row>
    <row r="46" customFormat="false" ht="15" hidden="false" customHeight="true" outlineLevel="0" collapsed="false">
      <c r="A46" s="6" t="s">
        <v>1157</v>
      </c>
      <c r="B46" s="6"/>
      <c r="C46" s="6"/>
      <c r="D46" s="6"/>
      <c r="E46" s="6"/>
      <c r="F46" s="6"/>
      <c r="G46" s="6"/>
      <c r="H46" s="6"/>
      <c r="I46" s="6"/>
      <c r="J46" s="6"/>
      <c r="K46" s="3"/>
      <c r="L46" s="3"/>
    </row>
    <row r="47" customFormat="false" ht="15" hidden="false" customHeight="true" outlineLevel="0" collapsed="false">
      <c r="A47" s="6" t="s">
        <v>1158</v>
      </c>
      <c r="B47" s="6"/>
      <c r="C47" s="6"/>
      <c r="D47" s="6"/>
      <c r="E47" s="6"/>
      <c r="F47" s="6"/>
      <c r="G47" s="6"/>
      <c r="H47" s="6"/>
      <c r="I47" s="6"/>
      <c r="J47" s="6"/>
      <c r="K47" s="3"/>
      <c r="L47" s="3"/>
    </row>
    <row r="48" customFormat="false" ht="15" hidden="false" customHeight="true" outlineLevel="0" collapsed="false">
      <c r="A48" s="6" t="s">
        <v>1159</v>
      </c>
      <c r="B48" s="6"/>
      <c r="C48" s="6"/>
      <c r="D48" s="6"/>
      <c r="E48" s="6"/>
      <c r="F48" s="6"/>
      <c r="G48" s="6"/>
      <c r="H48" s="6"/>
      <c r="I48" s="6"/>
      <c r="J48" s="6"/>
      <c r="K48" s="3"/>
      <c r="L48" s="3"/>
    </row>
    <row r="49" customFormat="false" ht="15" hidden="false" customHeight="true" outlineLevel="0" collapsed="false">
      <c r="A49" s="6" t="s">
        <v>1160</v>
      </c>
      <c r="B49" s="6"/>
      <c r="C49" s="6"/>
      <c r="D49" s="6"/>
      <c r="E49" s="6"/>
      <c r="F49" s="6"/>
      <c r="G49" s="6"/>
      <c r="H49" s="6"/>
      <c r="I49" s="6"/>
      <c r="J49" s="6"/>
      <c r="K49" s="3"/>
      <c r="L49" s="3"/>
    </row>
    <row r="50" customFormat="false" ht="15" hidden="false" customHeight="true" outlineLevel="0" collapsed="false">
      <c r="A50" s="6" t="s">
        <v>1161</v>
      </c>
      <c r="B50" s="6"/>
      <c r="C50" s="6"/>
      <c r="D50" s="6"/>
      <c r="E50" s="6"/>
      <c r="F50" s="6"/>
      <c r="G50" s="6"/>
      <c r="H50" s="6"/>
      <c r="I50" s="6"/>
      <c r="J50" s="6"/>
      <c r="K50" s="3"/>
      <c r="L50" s="3"/>
    </row>
    <row r="51" customFormat="false" ht="15" hidden="false" customHeight="true" outlineLevel="0" collapsed="false">
      <c r="A51" s="6" t="s">
        <v>1162</v>
      </c>
      <c r="B51" s="6"/>
      <c r="C51" s="6"/>
      <c r="D51" s="6"/>
      <c r="E51" s="6"/>
      <c r="F51" s="6"/>
      <c r="G51" s="6"/>
      <c r="H51" s="6"/>
      <c r="I51" s="6"/>
      <c r="J51" s="6"/>
      <c r="K51" s="3"/>
      <c r="L51" s="3"/>
    </row>
    <row r="52" customFormat="false" ht="15" hidden="false" customHeight="true" outlineLevel="0" collapsed="false">
      <c r="A52" s="6" t="s">
        <v>1163</v>
      </c>
      <c r="B52" s="6"/>
      <c r="C52" s="6"/>
      <c r="D52" s="6"/>
      <c r="E52" s="6"/>
      <c r="F52" s="6"/>
      <c r="G52" s="6"/>
      <c r="H52" s="6"/>
      <c r="I52" s="6"/>
      <c r="J52" s="6"/>
      <c r="K52" s="3"/>
      <c r="L52" s="3"/>
    </row>
    <row r="53" customFormat="false" ht="15" hidden="false" customHeight="true" outlineLevel="0" collapsed="false">
      <c r="A53" s="6" t="s">
        <v>1164</v>
      </c>
      <c r="B53" s="6"/>
      <c r="C53" s="6"/>
      <c r="D53" s="6"/>
      <c r="E53" s="6"/>
      <c r="F53" s="6"/>
      <c r="G53" s="6"/>
      <c r="H53" s="6"/>
      <c r="I53" s="6"/>
      <c r="J53" s="6"/>
      <c r="K53" s="3"/>
      <c r="L53" s="3"/>
    </row>
    <row r="54" customFormat="false" ht="15" hidden="false" customHeight="true" outlineLevel="0" collapsed="false">
      <c r="A54" s="6" t="s">
        <v>1165</v>
      </c>
      <c r="B54" s="6"/>
      <c r="C54" s="6"/>
      <c r="D54" s="6"/>
      <c r="E54" s="6"/>
      <c r="F54" s="6"/>
      <c r="G54" s="6"/>
      <c r="H54" s="6"/>
      <c r="I54" s="6"/>
      <c r="J54" s="6"/>
      <c r="K54" s="3"/>
      <c r="L54" s="3"/>
    </row>
    <row r="55" customFormat="false" ht="15" hidden="false" customHeight="true" outlineLevel="0" collapsed="false">
      <c r="A55" s="6" t="s">
        <v>1166</v>
      </c>
      <c r="B55" s="6"/>
      <c r="C55" s="6"/>
      <c r="D55" s="6"/>
      <c r="E55" s="6"/>
      <c r="F55" s="6"/>
      <c r="G55" s="6"/>
      <c r="H55" s="6"/>
      <c r="I55" s="6"/>
      <c r="J55" s="6"/>
      <c r="K55" s="3"/>
      <c r="L55" s="3"/>
    </row>
    <row r="56" customFormat="false" ht="15" hidden="false" customHeight="true" outlineLevel="0" collapsed="false">
      <c r="A56" s="6" t="s">
        <v>1167</v>
      </c>
      <c r="B56" s="6"/>
      <c r="C56" s="6"/>
      <c r="D56" s="6"/>
      <c r="E56" s="6"/>
      <c r="F56" s="6"/>
      <c r="G56" s="6"/>
      <c r="H56" s="6"/>
      <c r="I56" s="6"/>
      <c r="J56" s="6"/>
      <c r="K56" s="3"/>
      <c r="L56" s="3"/>
    </row>
    <row r="57" customFormat="false" ht="15" hidden="false" customHeight="true" outlineLevel="0" collapsed="false">
      <c r="A57" s="6" t="s">
        <v>1168</v>
      </c>
      <c r="B57" s="6"/>
      <c r="C57" s="6"/>
      <c r="D57" s="6"/>
      <c r="E57" s="6"/>
      <c r="F57" s="6"/>
      <c r="G57" s="6"/>
      <c r="H57" s="6"/>
      <c r="I57" s="6"/>
      <c r="J57" s="6"/>
      <c r="K57" s="3"/>
      <c r="L57" s="3"/>
    </row>
    <row r="58" customFormat="false" ht="15" hidden="false" customHeight="true" outlineLevel="0" collapsed="false">
      <c r="A58" s="6" t="s">
        <v>1169</v>
      </c>
      <c r="B58" s="6"/>
      <c r="C58" s="6"/>
      <c r="D58" s="6"/>
      <c r="E58" s="6"/>
      <c r="F58" s="6"/>
      <c r="G58" s="6"/>
      <c r="H58" s="6"/>
      <c r="I58" s="6"/>
      <c r="J58" s="6"/>
      <c r="K58" s="3"/>
      <c r="L58" s="3"/>
    </row>
    <row r="59" customFormat="false" ht="15" hidden="false" customHeight="true" outlineLevel="0" collapsed="false">
      <c r="A59" s="6" t="s">
        <v>1170</v>
      </c>
      <c r="B59" s="6"/>
      <c r="C59" s="6"/>
      <c r="D59" s="6"/>
      <c r="E59" s="6"/>
      <c r="F59" s="6"/>
      <c r="G59" s="6"/>
      <c r="H59" s="6"/>
      <c r="I59" s="6"/>
      <c r="J59" s="6"/>
      <c r="K59" s="3"/>
      <c r="L59" s="3"/>
    </row>
    <row r="60" customFormat="false" ht="15" hidden="false" customHeight="true" outlineLevel="0" collapsed="false">
      <c r="A60" s="6" t="s">
        <v>1171</v>
      </c>
      <c r="B60" s="6"/>
      <c r="C60" s="6"/>
      <c r="D60" s="6"/>
      <c r="E60" s="6"/>
      <c r="F60" s="6"/>
      <c r="G60" s="6"/>
      <c r="H60" s="6"/>
      <c r="I60" s="6"/>
      <c r="J60" s="6"/>
      <c r="K60" s="3"/>
      <c r="L60" s="3"/>
    </row>
    <row r="61" customFormat="false" ht="15" hidden="false" customHeight="true" outlineLevel="0" collapsed="false">
      <c r="A61" s="6" t="s">
        <v>1172</v>
      </c>
      <c r="B61" s="6"/>
      <c r="C61" s="6"/>
      <c r="D61" s="6"/>
      <c r="E61" s="6"/>
      <c r="F61" s="6"/>
      <c r="G61" s="6"/>
      <c r="H61" s="6"/>
      <c r="I61" s="6"/>
      <c r="J61" s="6"/>
      <c r="K61" s="3"/>
      <c r="L61" s="3"/>
    </row>
    <row r="62" customFormat="false" ht="15" hidden="false" customHeight="true" outlineLevel="0" collapsed="false">
      <c r="A62" s="6" t="s">
        <v>1173</v>
      </c>
      <c r="B62" s="6"/>
      <c r="C62" s="6"/>
      <c r="D62" s="6"/>
      <c r="E62" s="6"/>
      <c r="F62" s="6"/>
      <c r="G62" s="6"/>
      <c r="H62" s="6"/>
      <c r="I62" s="6"/>
      <c r="J62" s="6"/>
      <c r="K62" s="3"/>
      <c r="L62" s="3"/>
    </row>
    <row r="63" customFormat="false" ht="15" hidden="false" customHeight="true" outlineLevel="0" collapsed="false">
      <c r="A63" s="6" t="s">
        <v>1174</v>
      </c>
      <c r="B63" s="6"/>
      <c r="C63" s="6"/>
      <c r="D63" s="6"/>
      <c r="E63" s="6"/>
      <c r="F63" s="6"/>
      <c r="G63" s="6"/>
      <c r="H63" s="6"/>
      <c r="I63" s="6"/>
      <c r="J63" s="6"/>
      <c r="K63" s="3"/>
      <c r="L63" s="3"/>
    </row>
    <row r="64" customFormat="false" ht="15" hidden="false" customHeight="true" outlineLevel="0" collapsed="false">
      <c r="A64" s="6" t="s">
        <v>1175</v>
      </c>
      <c r="B64" s="6"/>
      <c r="C64" s="6"/>
      <c r="D64" s="6"/>
      <c r="E64" s="6"/>
      <c r="F64" s="6"/>
      <c r="G64" s="6"/>
      <c r="H64" s="6"/>
      <c r="I64" s="6"/>
      <c r="J64" s="6"/>
      <c r="K64" s="3"/>
      <c r="L64" s="3"/>
    </row>
    <row r="65" customFormat="false" ht="15" hidden="false" customHeight="true" outlineLevel="0" collapsed="false">
      <c r="A65" s="6" t="s">
        <v>1176</v>
      </c>
      <c r="B65" s="6"/>
      <c r="C65" s="6"/>
      <c r="D65" s="6"/>
      <c r="E65" s="6"/>
      <c r="F65" s="6"/>
      <c r="G65" s="6"/>
      <c r="H65" s="6"/>
      <c r="I65" s="6"/>
      <c r="J65" s="6"/>
      <c r="K65" s="3"/>
      <c r="L65" s="3"/>
    </row>
    <row r="66" customFormat="false" ht="15" hidden="false" customHeight="true" outlineLevel="0" collapsed="false">
      <c r="A66" s="6" t="s">
        <v>1177</v>
      </c>
      <c r="B66" s="6"/>
      <c r="C66" s="6"/>
      <c r="D66" s="6"/>
      <c r="E66" s="6"/>
      <c r="F66" s="6"/>
      <c r="G66" s="6"/>
      <c r="H66" s="6"/>
      <c r="I66" s="6"/>
      <c r="J66" s="6"/>
      <c r="K66" s="3"/>
      <c r="L66" s="3"/>
    </row>
    <row r="67" customFormat="false" ht="15" hidden="false" customHeight="true" outlineLevel="0" collapsed="false">
      <c r="A67" s="6" t="s">
        <v>1178</v>
      </c>
      <c r="B67" s="6"/>
      <c r="C67" s="6"/>
      <c r="D67" s="6"/>
      <c r="E67" s="6"/>
      <c r="F67" s="6"/>
      <c r="G67" s="6"/>
      <c r="H67" s="6"/>
      <c r="I67" s="6"/>
      <c r="J67" s="6"/>
      <c r="K67" s="3"/>
      <c r="L67" s="3"/>
    </row>
    <row r="68" customFormat="false" ht="15" hidden="false" customHeight="true" outlineLevel="0" collapsed="false">
      <c r="A68" s="6" t="s">
        <v>1179</v>
      </c>
      <c r="B68" s="6"/>
      <c r="C68" s="6"/>
      <c r="D68" s="6"/>
      <c r="E68" s="6"/>
      <c r="F68" s="6"/>
      <c r="G68" s="6"/>
      <c r="H68" s="6"/>
      <c r="I68" s="6"/>
      <c r="J68" s="6"/>
      <c r="K68" s="3"/>
      <c r="L68" s="3"/>
    </row>
    <row r="69" customFormat="false" ht="15" hidden="false" customHeight="true" outlineLevel="0" collapsed="false">
      <c r="A69" s="6" t="s">
        <v>1180</v>
      </c>
      <c r="B69" s="6"/>
      <c r="C69" s="6"/>
      <c r="D69" s="6"/>
      <c r="E69" s="6"/>
      <c r="F69" s="6"/>
      <c r="G69" s="6"/>
      <c r="H69" s="6"/>
      <c r="I69" s="6"/>
      <c r="J69" s="6"/>
      <c r="K69" s="3"/>
      <c r="L69" s="3"/>
    </row>
    <row r="70" customFormat="false" ht="15" hidden="false" customHeight="true" outlineLevel="0" collapsed="false">
      <c r="A70" s="6" t="s">
        <v>1181</v>
      </c>
      <c r="B70" s="6"/>
      <c r="C70" s="6"/>
      <c r="D70" s="6"/>
      <c r="E70" s="6"/>
      <c r="F70" s="6"/>
      <c r="G70" s="6"/>
      <c r="H70" s="6"/>
      <c r="I70" s="6"/>
      <c r="J70" s="6"/>
      <c r="K70" s="3"/>
      <c r="L70" s="3"/>
    </row>
    <row r="71" customFormat="false" ht="15" hidden="false" customHeight="true" outlineLevel="0" collapsed="false">
      <c r="A71" s="6" t="s">
        <v>1182</v>
      </c>
      <c r="B71" s="6"/>
      <c r="C71" s="6"/>
      <c r="D71" s="6"/>
      <c r="E71" s="6"/>
      <c r="F71" s="6"/>
      <c r="G71" s="6"/>
      <c r="H71" s="6"/>
      <c r="I71" s="6"/>
      <c r="J71" s="6"/>
      <c r="K71" s="3"/>
      <c r="L71" s="3"/>
    </row>
    <row r="72" customFormat="false" ht="15" hidden="false" customHeight="true" outlineLevel="0" collapsed="false">
      <c r="A72" s="6" t="s">
        <v>1183</v>
      </c>
      <c r="B72" s="6"/>
      <c r="C72" s="6"/>
      <c r="D72" s="6"/>
      <c r="E72" s="6"/>
      <c r="F72" s="6"/>
      <c r="G72" s="6"/>
      <c r="H72" s="6"/>
      <c r="I72" s="6"/>
      <c r="J72" s="6"/>
      <c r="K72" s="3"/>
      <c r="L72" s="3"/>
    </row>
    <row r="73" customFormat="false" ht="15" hidden="false" customHeight="true" outlineLevel="0" collapsed="false">
      <c r="A73" s="6" t="s">
        <v>1184</v>
      </c>
      <c r="B73" s="6"/>
      <c r="C73" s="6"/>
      <c r="D73" s="6"/>
      <c r="E73" s="6"/>
      <c r="F73" s="6"/>
      <c r="G73" s="6"/>
      <c r="H73" s="6"/>
      <c r="I73" s="6"/>
      <c r="J73" s="6"/>
      <c r="K73" s="3"/>
      <c r="L73" s="3"/>
    </row>
    <row r="74" customFormat="false" ht="15" hidden="false" customHeight="true" outlineLevel="0" collapsed="false">
      <c r="A74" s="6" t="s">
        <v>1185</v>
      </c>
      <c r="B74" s="6"/>
      <c r="C74" s="6"/>
      <c r="D74" s="6"/>
      <c r="E74" s="6"/>
      <c r="F74" s="6"/>
      <c r="G74" s="6"/>
      <c r="H74" s="6"/>
      <c r="I74" s="6"/>
      <c r="J74" s="6"/>
      <c r="K74" s="3"/>
      <c r="L74" s="3"/>
    </row>
    <row r="75" customFormat="false" ht="15" hidden="false" customHeight="true" outlineLevel="0" collapsed="false">
      <c r="A75" s="6" t="s">
        <v>1186</v>
      </c>
      <c r="B75" s="6"/>
      <c r="C75" s="6"/>
      <c r="D75" s="6"/>
      <c r="E75" s="6"/>
      <c r="F75" s="6"/>
      <c r="G75" s="6"/>
      <c r="H75" s="6"/>
      <c r="I75" s="6"/>
      <c r="J75" s="6"/>
      <c r="K75" s="3"/>
      <c r="L75" s="3"/>
    </row>
    <row r="76" customFormat="false" ht="15" hidden="false" customHeight="true" outlineLevel="0" collapsed="false">
      <c r="A76" s="6" t="s">
        <v>1187</v>
      </c>
      <c r="B76" s="6"/>
      <c r="C76" s="6"/>
      <c r="D76" s="6"/>
      <c r="E76" s="6"/>
      <c r="F76" s="6"/>
      <c r="G76" s="6"/>
      <c r="H76" s="6"/>
      <c r="I76" s="6"/>
      <c r="J76" s="6"/>
      <c r="K76" s="3"/>
      <c r="L76" s="3"/>
    </row>
    <row r="77" customFormat="false" ht="15" hidden="false" customHeight="true" outlineLevel="0" collapsed="false">
      <c r="A77" s="6" t="s">
        <v>1188</v>
      </c>
      <c r="B77" s="6"/>
      <c r="C77" s="6"/>
      <c r="D77" s="6"/>
      <c r="E77" s="6"/>
      <c r="F77" s="6"/>
      <c r="G77" s="6"/>
      <c r="H77" s="6"/>
      <c r="I77" s="6"/>
      <c r="J77" s="6"/>
      <c r="K77" s="3"/>
      <c r="L77" s="3"/>
    </row>
    <row r="78" customFormat="false" ht="15" hidden="false" customHeight="true" outlineLevel="0" collapsed="false">
      <c r="A78" s="6" t="s">
        <v>1189</v>
      </c>
      <c r="B78" s="6"/>
      <c r="C78" s="6"/>
      <c r="D78" s="6"/>
      <c r="E78" s="6"/>
      <c r="F78" s="6"/>
      <c r="G78" s="6"/>
      <c r="H78" s="6"/>
      <c r="I78" s="6"/>
      <c r="J78" s="6"/>
      <c r="K78" s="3"/>
      <c r="L78" s="3"/>
    </row>
    <row r="79" customFormat="false" ht="15" hidden="false" customHeight="true" outlineLevel="0" collapsed="false">
      <c r="A79" s="6" t="s">
        <v>1190</v>
      </c>
      <c r="B79" s="6"/>
      <c r="C79" s="6"/>
      <c r="D79" s="6"/>
      <c r="E79" s="6"/>
      <c r="F79" s="6"/>
      <c r="G79" s="6"/>
      <c r="H79" s="6"/>
      <c r="I79" s="6"/>
      <c r="J79" s="6"/>
      <c r="K79" s="3"/>
      <c r="L79" s="3"/>
    </row>
    <row r="80" customFormat="false" ht="15" hidden="false" customHeight="true" outlineLevel="0" collapsed="false">
      <c r="A80" s="6" t="s">
        <v>1191</v>
      </c>
      <c r="B80" s="6"/>
      <c r="C80" s="6"/>
      <c r="D80" s="6"/>
      <c r="E80" s="6"/>
      <c r="F80" s="6"/>
      <c r="G80" s="6"/>
      <c r="H80" s="6"/>
      <c r="I80" s="6"/>
      <c r="J80" s="6"/>
      <c r="K80" s="3"/>
      <c r="L80" s="3"/>
    </row>
    <row r="81" customFormat="false" ht="15" hidden="false" customHeight="true" outlineLevel="0" collapsed="false">
      <c r="A81" s="6" t="s">
        <v>1192</v>
      </c>
      <c r="B81" s="6"/>
      <c r="C81" s="6"/>
      <c r="D81" s="6"/>
      <c r="E81" s="6"/>
      <c r="F81" s="6"/>
      <c r="G81" s="6"/>
      <c r="H81" s="6"/>
      <c r="I81" s="6"/>
      <c r="J81" s="6"/>
      <c r="K81" s="3"/>
      <c r="L81" s="3"/>
    </row>
    <row r="82" customFormat="false" ht="15" hidden="false" customHeight="true" outlineLevel="0" collapsed="false">
      <c r="A82" s="6" t="s">
        <v>1193</v>
      </c>
      <c r="B82" s="6"/>
      <c r="C82" s="6"/>
      <c r="D82" s="6"/>
      <c r="E82" s="6"/>
      <c r="F82" s="6"/>
      <c r="G82" s="6"/>
      <c r="H82" s="6"/>
      <c r="I82" s="6"/>
      <c r="J82" s="6"/>
      <c r="K82" s="3"/>
      <c r="L82" s="3"/>
    </row>
    <row r="83" customFormat="false" ht="15" hidden="false" customHeight="true" outlineLevel="0" collapsed="false">
      <c r="A83" s="6" t="s">
        <v>1194</v>
      </c>
      <c r="B83" s="6"/>
      <c r="C83" s="6"/>
      <c r="D83" s="6"/>
      <c r="E83" s="6"/>
      <c r="F83" s="6"/>
      <c r="G83" s="6"/>
      <c r="H83" s="6"/>
      <c r="I83" s="6"/>
      <c r="J83" s="6"/>
      <c r="K83" s="3"/>
      <c r="L83" s="3"/>
    </row>
    <row r="84" customFormat="false" ht="15" hidden="false" customHeight="true" outlineLevel="0" collapsed="false">
      <c r="A84" s="6" t="s">
        <v>1195</v>
      </c>
      <c r="B84" s="6"/>
      <c r="C84" s="6"/>
      <c r="D84" s="6"/>
      <c r="E84" s="6"/>
      <c r="F84" s="6"/>
      <c r="G84" s="6"/>
      <c r="H84" s="6"/>
      <c r="I84" s="6"/>
      <c r="J84" s="6"/>
      <c r="K84" s="3"/>
      <c r="L84" s="3"/>
    </row>
    <row r="85" customFormat="false" ht="15" hidden="false" customHeight="true" outlineLevel="0" collapsed="false">
      <c r="A85" s="6" t="s">
        <v>1196</v>
      </c>
      <c r="B85" s="6"/>
      <c r="C85" s="6"/>
      <c r="D85" s="6"/>
      <c r="E85" s="6"/>
      <c r="F85" s="6"/>
      <c r="G85" s="6"/>
      <c r="H85" s="6"/>
      <c r="I85" s="6"/>
      <c r="J85" s="6"/>
      <c r="K85" s="3"/>
      <c r="L85" s="3"/>
    </row>
    <row r="86" customFormat="false" ht="15" hidden="false" customHeight="true" outlineLevel="0" collapsed="false">
      <c r="A86" s="6" t="s">
        <v>1197</v>
      </c>
      <c r="B86" s="6"/>
      <c r="C86" s="6"/>
      <c r="D86" s="6"/>
      <c r="E86" s="6"/>
      <c r="F86" s="6"/>
      <c r="G86" s="6"/>
      <c r="H86" s="6"/>
      <c r="I86" s="6"/>
      <c r="J86" s="6"/>
      <c r="K86" s="3"/>
      <c r="L86" s="3"/>
    </row>
    <row r="87" customFormat="false" ht="15" hidden="false" customHeight="true" outlineLevel="0" collapsed="false">
      <c r="A87" s="6" t="s">
        <v>1198</v>
      </c>
      <c r="B87" s="6"/>
      <c r="C87" s="6"/>
      <c r="D87" s="6"/>
      <c r="E87" s="6"/>
      <c r="F87" s="6"/>
      <c r="G87" s="6"/>
      <c r="H87" s="6"/>
      <c r="I87" s="6"/>
      <c r="J87" s="6"/>
      <c r="K87" s="3"/>
      <c r="L87" s="3"/>
    </row>
    <row r="88" customFormat="false" ht="15" hidden="false" customHeight="true" outlineLevel="0" collapsed="false">
      <c r="A88" s="6" t="s">
        <v>1199</v>
      </c>
      <c r="B88" s="6"/>
      <c r="C88" s="6"/>
      <c r="D88" s="6"/>
      <c r="E88" s="6"/>
      <c r="F88" s="6"/>
      <c r="G88" s="6"/>
      <c r="H88" s="6"/>
      <c r="I88" s="6"/>
      <c r="J88" s="6"/>
      <c r="K88" s="3"/>
      <c r="L88" s="3"/>
    </row>
    <row r="89" customFormat="false" ht="15" hidden="false" customHeight="true" outlineLevel="0" collapsed="false">
      <c r="A89" s="6" t="s">
        <v>1200</v>
      </c>
      <c r="B89" s="6"/>
      <c r="C89" s="6"/>
      <c r="D89" s="6"/>
      <c r="E89" s="6"/>
      <c r="F89" s="6"/>
      <c r="G89" s="6"/>
      <c r="H89" s="6"/>
      <c r="I89" s="6"/>
      <c r="J89" s="6"/>
      <c r="K89" s="3"/>
      <c r="L89" s="3"/>
    </row>
    <row r="90" customFormat="false" ht="15" hidden="false" customHeight="true" outlineLevel="0" collapsed="false">
      <c r="A90" s="6" t="s">
        <v>1201</v>
      </c>
      <c r="B90" s="6"/>
      <c r="C90" s="6"/>
      <c r="D90" s="6"/>
      <c r="E90" s="6"/>
      <c r="F90" s="6"/>
      <c r="G90" s="6"/>
      <c r="H90" s="6"/>
      <c r="I90" s="6"/>
      <c r="J90" s="6"/>
      <c r="K90" s="3"/>
      <c r="L90" s="3"/>
    </row>
    <row r="91" customFormat="false" ht="15" hidden="false" customHeight="true" outlineLevel="0" collapsed="false">
      <c r="A91" s="6" t="s">
        <v>1202</v>
      </c>
      <c r="B91" s="6"/>
      <c r="C91" s="6"/>
      <c r="D91" s="6"/>
      <c r="E91" s="6"/>
      <c r="F91" s="6"/>
      <c r="G91" s="6"/>
      <c r="H91" s="6"/>
      <c r="I91" s="6"/>
      <c r="J91" s="6"/>
      <c r="K91" s="3"/>
      <c r="L91" s="3"/>
    </row>
    <row r="92" customFormat="false" ht="15" hidden="false" customHeight="true" outlineLevel="0" collapsed="false">
      <c r="A92" s="6" t="s">
        <v>1203</v>
      </c>
      <c r="B92" s="6"/>
      <c r="C92" s="6"/>
      <c r="D92" s="6"/>
      <c r="E92" s="6"/>
      <c r="F92" s="6"/>
      <c r="G92" s="6"/>
      <c r="H92" s="6"/>
      <c r="I92" s="6"/>
      <c r="J92" s="6"/>
      <c r="K92" s="3"/>
      <c r="L92" s="3"/>
    </row>
    <row r="93" customFormat="false" ht="15" hidden="false" customHeight="true" outlineLevel="0" collapsed="false">
      <c r="A93" s="6" t="s">
        <v>1204</v>
      </c>
      <c r="B93" s="6"/>
      <c r="C93" s="6"/>
      <c r="D93" s="6"/>
      <c r="E93" s="6"/>
      <c r="F93" s="6"/>
      <c r="G93" s="6"/>
      <c r="H93" s="6"/>
      <c r="I93" s="6"/>
      <c r="J93" s="6"/>
      <c r="K93" s="3"/>
      <c r="L93" s="3"/>
    </row>
    <row r="94" customFormat="false" ht="15" hidden="false" customHeight="true" outlineLevel="0" collapsed="false">
      <c r="A94" s="6" t="s">
        <v>1205</v>
      </c>
      <c r="B94" s="6"/>
      <c r="C94" s="6"/>
      <c r="D94" s="6"/>
      <c r="E94" s="6"/>
      <c r="F94" s="6"/>
      <c r="G94" s="6"/>
      <c r="H94" s="6"/>
      <c r="I94" s="6"/>
      <c r="J94" s="6"/>
      <c r="K94" s="3"/>
      <c r="L94" s="3"/>
    </row>
    <row r="95" customFormat="false" ht="15" hidden="false" customHeight="true" outlineLevel="0" collapsed="false">
      <c r="A95" s="6" t="s">
        <v>1206</v>
      </c>
      <c r="B95" s="6"/>
      <c r="C95" s="6"/>
      <c r="D95" s="6"/>
      <c r="E95" s="6"/>
      <c r="F95" s="6"/>
      <c r="G95" s="6"/>
      <c r="H95" s="6"/>
      <c r="I95" s="6"/>
      <c r="J95" s="6"/>
      <c r="K95" s="3"/>
      <c r="L95" s="3"/>
    </row>
    <row r="96" customFormat="false" ht="15" hidden="false" customHeight="true" outlineLevel="0" collapsed="false">
      <c r="A96" s="6" t="s">
        <v>1207</v>
      </c>
      <c r="B96" s="6"/>
      <c r="C96" s="6"/>
      <c r="D96" s="6"/>
      <c r="E96" s="6"/>
      <c r="F96" s="6"/>
      <c r="G96" s="6"/>
      <c r="H96" s="6"/>
      <c r="I96" s="6"/>
      <c r="J96" s="6"/>
      <c r="K96" s="3"/>
      <c r="L96" s="3"/>
    </row>
    <row r="97" customFormat="false" ht="15" hidden="false" customHeight="true" outlineLevel="0" collapsed="false">
      <c r="A97" s="6" t="s">
        <v>1208</v>
      </c>
      <c r="B97" s="6"/>
      <c r="C97" s="6"/>
      <c r="D97" s="6"/>
      <c r="E97" s="6"/>
      <c r="F97" s="6"/>
      <c r="G97" s="6"/>
      <c r="H97" s="6"/>
      <c r="I97" s="6"/>
      <c r="J97" s="6"/>
      <c r="K97" s="3"/>
      <c r="L97" s="3"/>
    </row>
    <row r="98" customFormat="false" ht="15" hidden="false" customHeight="true" outlineLevel="0" collapsed="false">
      <c r="A98" s="6" t="s">
        <v>1209</v>
      </c>
      <c r="B98" s="6"/>
      <c r="C98" s="6"/>
      <c r="D98" s="6"/>
      <c r="E98" s="6"/>
      <c r="F98" s="6"/>
      <c r="G98" s="6"/>
      <c r="H98" s="6"/>
      <c r="I98" s="6"/>
      <c r="J98" s="6"/>
      <c r="K98" s="3"/>
      <c r="L98" s="3"/>
    </row>
    <row r="99" customFormat="false" ht="15" hidden="false" customHeight="true" outlineLevel="0" collapsed="false">
      <c r="A99" s="6" t="s">
        <v>1210</v>
      </c>
      <c r="B99" s="6"/>
      <c r="C99" s="6"/>
      <c r="D99" s="6"/>
      <c r="E99" s="6"/>
      <c r="F99" s="6"/>
      <c r="G99" s="6"/>
      <c r="H99" s="6"/>
      <c r="I99" s="6"/>
      <c r="J99" s="6"/>
      <c r="K99" s="3"/>
      <c r="L99" s="3"/>
    </row>
    <row r="100" customFormat="false" ht="15" hidden="false" customHeight="true" outlineLevel="0" collapsed="false">
      <c r="A100" s="6" t="s">
        <v>1211</v>
      </c>
      <c r="B100" s="6"/>
      <c r="C100" s="6"/>
      <c r="D100" s="6"/>
      <c r="E100" s="6"/>
      <c r="F100" s="6"/>
      <c r="G100" s="6"/>
      <c r="H100" s="6"/>
      <c r="I100" s="6"/>
      <c r="J100" s="6"/>
      <c r="K100" s="3"/>
      <c r="L100" s="3"/>
    </row>
    <row r="101" customFormat="false" ht="15" hidden="false" customHeight="true" outlineLevel="0" collapsed="false">
      <c r="A101" s="6" t="s">
        <v>1212</v>
      </c>
      <c r="B101" s="6"/>
      <c r="C101" s="6"/>
      <c r="D101" s="6"/>
      <c r="E101" s="6"/>
      <c r="F101" s="6"/>
      <c r="G101" s="6"/>
      <c r="H101" s="6"/>
      <c r="I101" s="6"/>
      <c r="J101" s="6"/>
      <c r="K101" s="3"/>
      <c r="L101" s="3"/>
    </row>
    <row r="102" customFormat="false" ht="15" hidden="false" customHeight="true" outlineLevel="0" collapsed="false">
      <c r="A102" s="6" t="s">
        <v>1213</v>
      </c>
      <c r="B102" s="6"/>
      <c r="C102" s="6"/>
      <c r="D102" s="6"/>
      <c r="E102" s="6"/>
      <c r="F102" s="6"/>
      <c r="G102" s="6"/>
      <c r="H102" s="6"/>
      <c r="I102" s="6"/>
      <c r="J102" s="6"/>
      <c r="K102" s="3"/>
      <c r="L102" s="3"/>
    </row>
    <row r="103" customFormat="false" ht="15" hidden="false" customHeight="true" outlineLevel="0" collapsed="false">
      <c r="A103" s="6" t="s">
        <v>1214</v>
      </c>
      <c r="B103" s="6"/>
      <c r="C103" s="6"/>
      <c r="D103" s="6"/>
      <c r="E103" s="6"/>
      <c r="F103" s="6"/>
      <c r="G103" s="6"/>
      <c r="H103" s="6"/>
      <c r="I103" s="6"/>
      <c r="J103" s="6"/>
      <c r="K103" s="3"/>
      <c r="L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</sheetData>
  <mergeCells count="1">
    <mergeCell ref="A1:J1"/>
  </mergeCells>
  <conditionalFormatting sqref="I4:I103">
    <cfRule type="expression" priority="2" aboveAverage="0" equalAverage="0" bottom="0" percent="0" rank="0" text="" dxfId="0">
      <formula>I4="Cumple"</formula>
    </cfRule>
    <cfRule type="expression" priority="3" aboveAverage="0" equalAverage="0" bottom="0" percent="0" rank="0" text="" dxfId="1">
      <formula>I4="Revisar"</formula>
    </cfRule>
  </conditionalFormatting>
  <dataValidations count="1">
    <dataValidation allowBlank="false" errorStyle="stop" operator="between" showDropDown="false" showErrorMessage="false" showInputMessage="false" sqref="I4:I103" type="list">
      <formula1>"Pendiente,Revisar,Cumple"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2"/>
    <col collapsed="false" customWidth="true" hidden="false" outlineLevel="0" max="4" min="3" style="1" width="32"/>
    <col collapsed="false" customWidth="true" hidden="false" outlineLevel="0" max="5" min="5" style="1" width="14"/>
  </cols>
  <sheetData>
    <row r="1" customFormat="false" ht="30.75" hidden="false" customHeight="true" outlineLevel="0" collapsed="false">
      <c r="A1" s="2" t="s">
        <v>1215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4" t="s">
        <v>1216</v>
      </c>
      <c r="B3" s="4" t="s">
        <v>1217</v>
      </c>
      <c r="C3" s="4" t="s">
        <v>988</v>
      </c>
      <c r="D3" s="4" t="s">
        <v>33</v>
      </c>
      <c r="E3" s="4" t="s">
        <v>1218</v>
      </c>
      <c r="F3" s="3"/>
      <c r="G3" s="3"/>
      <c r="H3" s="3"/>
      <c r="I3" s="3"/>
      <c r="J3" s="3"/>
      <c r="K3" s="3"/>
      <c r="L3" s="3"/>
    </row>
    <row r="4" customFormat="false" ht="57.75" hidden="false" customHeight="true" outlineLevel="0" collapsed="false">
      <c r="A4" s="6" t="s">
        <v>1219</v>
      </c>
      <c r="B4" s="6" t="s">
        <v>1220</v>
      </c>
      <c r="C4" s="6" t="s">
        <v>1221</v>
      </c>
      <c r="D4" s="6"/>
      <c r="E4" s="6" t="s">
        <v>13</v>
      </c>
      <c r="F4" s="3"/>
      <c r="G4" s="3"/>
      <c r="H4" s="3"/>
      <c r="I4" s="3"/>
      <c r="J4" s="3"/>
      <c r="K4" s="3"/>
      <c r="L4" s="3"/>
    </row>
    <row r="5" customFormat="false" ht="44.25" hidden="false" customHeight="true" outlineLevel="0" collapsed="false">
      <c r="A5" s="6" t="s">
        <v>1222</v>
      </c>
      <c r="B5" s="6" t="s">
        <v>1220</v>
      </c>
      <c r="C5" s="6" t="s">
        <v>1223</v>
      </c>
      <c r="D5" s="6"/>
      <c r="E5" s="6" t="s">
        <v>13</v>
      </c>
      <c r="F5" s="3"/>
      <c r="G5" s="3"/>
      <c r="H5" s="3"/>
      <c r="I5" s="3"/>
      <c r="J5" s="3"/>
      <c r="K5" s="3"/>
      <c r="L5" s="3"/>
    </row>
    <row r="6" customFormat="false" ht="57.75" hidden="false" customHeight="true" outlineLevel="0" collapsed="false">
      <c r="A6" s="6" t="s">
        <v>1224</v>
      </c>
      <c r="B6" s="6" t="s">
        <v>1220</v>
      </c>
      <c r="C6" s="6" t="s">
        <v>1225</v>
      </c>
      <c r="D6" s="6"/>
      <c r="E6" s="6" t="s">
        <v>13</v>
      </c>
      <c r="F6" s="3"/>
      <c r="G6" s="3"/>
      <c r="H6" s="3"/>
      <c r="I6" s="3"/>
      <c r="J6" s="3"/>
      <c r="K6" s="3"/>
      <c r="L6" s="3"/>
    </row>
    <row r="7" customFormat="false" ht="44.25" hidden="false" customHeight="true" outlineLevel="0" collapsed="false">
      <c r="A7" s="6" t="s">
        <v>1226</v>
      </c>
      <c r="B7" s="6" t="s">
        <v>1220</v>
      </c>
      <c r="C7" s="6" t="s">
        <v>1227</v>
      </c>
      <c r="D7" s="6"/>
      <c r="E7" s="6" t="s">
        <v>13</v>
      </c>
      <c r="F7" s="3"/>
      <c r="G7" s="3"/>
      <c r="H7" s="3"/>
      <c r="I7" s="3"/>
      <c r="J7" s="3"/>
      <c r="K7" s="3"/>
      <c r="L7" s="3"/>
    </row>
    <row r="8" customFormat="false" ht="57.75" hidden="false" customHeight="true" outlineLevel="0" collapsed="false">
      <c r="A8" s="6" t="s">
        <v>1228</v>
      </c>
      <c r="B8" s="6" t="s">
        <v>1220</v>
      </c>
      <c r="C8" s="6" t="s">
        <v>1229</v>
      </c>
      <c r="D8" s="6"/>
      <c r="E8" s="6" t="s">
        <v>13</v>
      </c>
      <c r="F8" s="3"/>
      <c r="G8" s="3"/>
      <c r="H8" s="3"/>
      <c r="I8" s="3"/>
      <c r="J8" s="3"/>
      <c r="K8" s="3"/>
      <c r="L8" s="3"/>
    </row>
    <row r="9" customFormat="false" ht="131.25" hidden="false" customHeight="true" outlineLevel="0" collapsed="false">
      <c r="A9" s="6" t="s">
        <v>1230</v>
      </c>
      <c r="B9" s="6" t="s">
        <v>1220</v>
      </c>
      <c r="C9" s="6" t="s">
        <v>1231</v>
      </c>
      <c r="D9" s="6"/>
      <c r="E9" s="6" t="s">
        <v>13</v>
      </c>
      <c r="F9" s="3"/>
      <c r="G9" s="3"/>
      <c r="H9" s="3"/>
      <c r="I9" s="3"/>
      <c r="J9" s="3"/>
      <c r="K9" s="3"/>
      <c r="L9" s="3"/>
    </row>
    <row r="10" customFormat="false" ht="44.25" hidden="false" customHeight="true" outlineLevel="0" collapsed="false">
      <c r="A10" s="6" t="s">
        <v>1232</v>
      </c>
      <c r="B10" s="6" t="s">
        <v>1220</v>
      </c>
      <c r="C10" s="6" t="s">
        <v>1233</v>
      </c>
      <c r="D10" s="6"/>
      <c r="E10" s="6" t="s">
        <v>13</v>
      </c>
      <c r="F10" s="3"/>
      <c r="G10" s="3"/>
      <c r="H10" s="3"/>
      <c r="I10" s="3"/>
      <c r="J10" s="3"/>
      <c r="K10" s="3"/>
      <c r="L10" s="3"/>
    </row>
    <row r="11" customFormat="false" ht="30.75" hidden="false" customHeight="true" outlineLevel="0" collapsed="false">
      <c r="A11" s="6" t="s">
        <v>1234</v>
      </c>
      <c r="B11" s="6" t="s">
        <v>1220</v>
      </c>
      <c r="C11" s="6" t="s">
        <v>1235</v>
      </c>
      <c r="D11" s="6"/>
      <c r="E11" s="6" t="s">
        <v>13</v>
      </c>
      <c r="F11" s="3"/>
      <c r="G11" s="3"/>
      <c r="H11" s="3"/>
      <c r="I11" s="3"/>
      <c r="J11" s="3"/>
      <c r="K11" s="3"/>
      <c r="L11" s="3"/>
    </row>
    <row r="12" customFormat="false" ht="84.75" hidden="false" customHeight="true" outlineLevel="0" collapsed="false">
      <c r="A12" s="6" t="s">
        <v>1236</v>
      </c>
      <c r="B12" s="6" t="s">
        <v>1220</v>
      </c>
      <c r="C12" s="6" t="s">
        <v>1237</v>
      </c>
      <c r="D12" s="6"/>
      <c r="E12" s="6" t="s">
        <v>13</v>
      </c>
      <c r="F12" s="3"/>
      <c r="G12" s="3"/>
      <c r="H12" s="3"/>
      <c r="I12" s="3"/>
      <c r="J12" s="3"/>
      <c r="K12" s="3"/>
      <c r="L12" s="3"/>
    </row>
    <row r="13" customFormat="false" ht="84.75" hidden="false" customHeight="true" outlineLevel="0" collapsed="false">
      <c r="A13" s="6" t="s">
        <v>1238</v>
      </c>
      <c r="B13" s="6" t="s">
        <v>1220</v>
      </c>
      <c r="C13" s="6" t="s">
        <v>1239</v>
      </c>
      <c r="D13" s="6" t="s">
        <v>1240</v>
      </c>
      <c r="E13" s="6" t="s">
        <v>13</v>
      </c>
      <c r="F13" s="3"/>
      <c r="G13" s="3"/>
      <c r="H13" s="3"/>
      <c r="I13" s="3"/>
      <c r="J13" s="3"/>
      <c r="K13" s="3"/>
      <c r="L13" s="3"/>
    </row>
    <row r="14" customFormat="false" ht="71.25" hidden="false" customHeight="true" outlineLevel="0" collapsed="false">
      <c r="A14" s="6" t="s">
        <v>1241</v>
      </c>
      <c r="B14" s="6" t="s">
        <v>1220</v>
      </c>
      <c r="C14" s="6" t="s">
        <v>1242</v>
      </c>
      <c r="D14" s="6"/>
      <c r="E14" s="6" t="s">
        <v>13</v>
      </c>
      <c r="F14" s="3"/>
      <c r="G14" s="3"/>
      <c r="H14" s="3"/>
      <c r="I14" s="3"/>
      <c r="J14" s="3"/>
      <c r="K14" s="3"/>
      <c r="L14" s="3"/>
    </row>
    <row r="15" customFormat="false" ht="131.25" hidden="false" customHeight="true" outlineLevel="0" collapsed="false">
      <c r="A15" s="6" t="s">
        <v>1243</v>
      </c>
      <c r="B15" s="6" t="s">
        <v>1220</v>
      </c>
      <c r="C15" s="6" t="s">
        <v>1244</v>
      </c>
      <c r="D15" s="6"/>
      <c r="E15" s="6" t="s">
        <v>13</v>
      </c>
      <c r="F15" s="3"/>
      <c r="G15" s="3"/>
      <c r="H15" s="3"/>
      <c r="I15" s="3"/>
      <c r="J15" s="3"/>
      <c r="K15" s="3"/>
      <c r="L15" s="3"/>
    </row>
    <row r="16" customFormat="false" ht="57.75" hidden="false" customHeight="true" outlineLevel="0" collapsed="false">
      <c r="A16" s="6" t="s">
        <v>1245</v>
      </c>
      <c r="B16" s="6" t="s">
        <v>1220</v>
      </c>
      <c r="C16" s="6" t="s">
        <v>1246</v>
      </c>
      <c r="D16" s="6"/>
      <c r="E16" s="6" t="s">
        <v>13</v>
      </c>
      <c r="F16" s="3"/>
      <c r="G16" s="3"/>
      <c r="H16" s="3"/>
      <c r="I16" s="3"/>
      <c r="J16" s="3"/>
      <c r="K16" s="3"/>
      <c r="L16" s="3"/>
    </row>
    <row r="17" customFormat="false" ht="152.25" hidden="false" customHeight="true" outlineLevel="0" collapsed="false">
      <c r="A17" s="6" t="s">
        <v>1247</v>
      </c>
      <c r="B17" s="6" t="s">
        <v>1220</v>
      </c>
      <c r="C17" s="6" t="s">
        <v>1248</v>
      </c>
      <c r="D17" s="6" t="s">
        <v>1249</v>
      </c>
      <c r="E17" s="6" t="s">
        <v>13</v>
      </c>
      <c r="F17" s="3"/>
      <c r="G17" s="3"/>
      <c r="H17" s="3"/>
      <c r="I17" s="3"/>
      <c r="J17" s="3"/>
      <c r="K17" s="3"/>
      <c r="L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</sheetData>
  <mergeCells count="1">
    <mergeCell ref="A1:E1"/>
  </mergeCells>
  <conditionalFormatting sqref="E4:E17">
    <cfRule type="expression" priority="2" aboveAverage="0" equalAverage="0" bottom="0" percent="0" rank="0" text="" dxfId="0">
      <formula>E4="Verde"</formula>
    </cfRule>
    <cfRule type="expression" priority="3" aboveAverage="0" equalAverage="0" bottom="0" percent="0" rank="0" text="" dxfId="1">
      <formula>E4="Amarillo"</formula>
    </cfRule>
    <cfRule type="expression" priority="4" aboveAverage="0" equalAverage="0" bottom="0" percent="0" rank="0" text="" dxfId="2">
      <formula>E4="Rojo"</formula>
    </cfRule>
  </conditionalFormatting>
  <dataValidations count="2">
    <dataValidation allowBlank="false" errorStyle="stop" operator="between" showDropDown="false" showErrorMessage="false" showInputMessage="false" sqref="B4:B17" type="list">
      <formula1>"Sí,No"</formula1>
      <formula2>0</formula2>
    </dataValidation>
    <dataValidation allowBlank="false" errorStyle="stop" operator="between" showDropDown="false" showErrorMessage="false" showInputMessage="false" sqref="E4:E17" type="list">
      <formula1>"Verde,Amarillo,Rojo"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2026-10-20T21:15:41Z</dcterms:created>
  <dc:creator>openpyxl</dc:creator>
  <dc:description/>
  <dc:language>en-US</dc:language>
  <cp:lastModifiedBy/>
  <dcterms:modified xsi:type="dcterms:W3CDTF">2026-10-28T02:09:23Z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